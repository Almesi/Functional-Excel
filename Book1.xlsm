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eallulic\Documents\GitHub\Functional-Excel\"/>
    </mc:Choice>
  </mc:AlternateContent>
  <xr:revisionPtr revIDLastSave="0" documentId="13_ncr:1_{9ABF05F1-F0C0-4D9B-891B-27C958665E1D}" xr6:coauthVersionLast="47" xr6:coauthVersionMax="47" xr10:uidLastSave="{00000000-0000-0000-0000-000000000000}"/>
  <bookViews>
    <workbookView xWindow="-28920" yWindow="-120" windowWidth="29040" windowHeight="15720" xr2:uid="{9AA5567B-FA1B-4569-A517-AB291FF506F9}"/>
  </bookViews>
  <sheets>
    <sheet name="Sheet1" sheetId="1" r:id="rId1"/>
  </sheets>
  <definedNames>
    <definedName name="_xlchart.v1.0" hidden="1">Sheet1!$AA$25</definedName>
    <definedName name="_xlchart.v1.1" hidden="1">Sheet1!$AB$25</definedName>
    <definedName name="_xlchart.v1.10" hidden="1">Sheet1!$P$25</definedName>
    <definedName name="_xlchart.v1.11" hidden="1">Sheet1!$Q$25</definedName>
    <definedName name="_xlchart.v1.12" hidden="1">Sheet1!$R$25</definedName>
    <definedName name="_xlchart.v1.13" hidden="1">Sheet1!$S$25</definedName>
    <definedName name="_xlchart.v1.14" hidden="1">Sheet1!$T$25</definedName>
    <definedName name="_xlchart.v1.15" hidden="1">Sheet1!$U$25</definedName>
    <definedName name="_xlchart.v1.16" hidden="1">Sheet1!$V$25</definedName>
    <definedName name="_xlchart.v1.17" hidden="1">Sheet1!$W$25</definedName>
    <definedName name="_xlchart.v1.18" hidden="1">Sheet1!$X$25</definedName>
    <definedName name="_xlchart.v1.19" hidden="1">Sheet1!$Y$25</definedName>
    <definedName name="_xlchart.v1.2" hidden="1">Sheet1!$AC$25</definedName>
    <definedName name="_xlchart.v1.20" hidden="1">Sheet1!$Z$25</definedName>
    <definedName name="_xlchart.v1.21" hidden="1">Sheet1!$AA$25</definedName>
    <definedName name="_xlchart.v1.22" hidden="1">Sheet1!$AB$25</definedName>
    <definedName name="_xlchart.v1.23" hidden="1">Sheet1!$AC$25</definedName>
    <definedName name="_xlchart.v1.24" hidden="1">Sheet1!$AD$25</definedName>
    <definedName name="_xlchart.v1.25" hidden="1">Sheet1!$AE$25</definedName>
    <definedName name="_xlchart.v1.26" hidden="1">Sheet1!$AF$25</definedName>
    <definedName name="_xlchart.v1.27" hidden="1">Sheet1!$AG$25</definedName>
    <definedName name="_xlchart.v1.28" hidden="1">Sheet1!$AH$25</definedName>
    <definedName name="_xlchart.v1.29" hidden="1">Sheet1!$AI$25</definedName>
    <definedName name="_xlchart.v1.3" hidden="1">Sheet1!$AD$25</definedName>
    <definedName name="_xlchart.v1.30" hidden="1">Sheet1!$O$25</definedName>
    <definedName name="_xlchart.v1.31" hidden="1">Sheet1!$P$25</definedName>
    <definedName name="_xlchart.v1.32" hidden="1">Sheet1!$Q$25</definedName>
    <definedName name="_xlchart.v1.33" hidden="1">Sheet1!$R$25</definedName>
    <definedName name="_xlchart.v1.34" hidden="1">Sheet1!$S$25</definedName>
    <definedName name="_xlchart.v1.35" hidden="1">Sheet1!$T$25</definedName>
    <definedName name="_xlchart.v1.36" hidden="1">Sheet1!$U$25</definedName>
    <definedName name="_xlchart.v1.37" hidden="1">Sheet1!$V$25</definedName>
    <definedName name="_xlchart.v1.38" hidden="1">Sheet1!$W$25</definedName>
    <definedName name="_xlchart.v1.39" hidden="1">Sheet1!$X$25</definedName>
    <definedName name="_xlchart.v1.4" hidden="1">Sheet1!$AE$25</definedName>
    <definedName name="_xlchart.v1.40" hidden="1">Sheet1!$Y$25</definedName>
    <definedName name="_xlchart.v1.41" hidden="1">Sheet1!$Z$25</definedName>
    <definedName name="_xlchart.v1.5" hidden="1">Sheet1!$AF$25</definedName>
    <definedName name="_xlchart.v1.6" hidden="1">Sheet1!$AG$25</definedName>
    <definedName name="_xlchart.v1.7" hidden="1">Sheet1!$AH$25</definedName>
    <definedName name="_xlchart.v1.8" hidden="1">Sheet1!$AI$25</definedName>
    <definedName name="_xlchart.v1.9" hidden="1">Sheet1!$O$25</definedName>
    <definedName name="_xleta.INDIRECT" hidden="1" xlm="1">#NAME?</definedName>
    <definedName name="_xlop.h" hidden="1" xlm="1">#NAME?</definedName>
    <definedName name="_xlpm.A" hidden="1" xlm="1">#NAME?</definedName>
    <definedName name="_xlpm.Accumulator" hidden="1" xlm="1">#NAME?</definedName>
    <definedName name="_xlpm.Array" hidden="1" xlm="1">#NAME?</definedName>
    <definedName name="_xlpm.B" hidden="1" xlm="1">#NAME?</definedName>
    <definedName name="_xlpm.Base" hidden="1" xlm="1">#NAME?</definedName>
    <definedName name="_xlpm.C" hidden="1" xlm="1">#NAME?</definedName>
    <definedName name="_xlpm.D" hidden="1" xlm="1">#NAME?</definedName>
    <definedName name="_xlpm.dx" hidden="1" xlm="1">#NAME?</definedName>
    <definedName name="_xlpm.E" hidden="1" xlm="1">#NAME?</definedName>
    <definedName name="_xlpm.End" hidden="1" xlm="1">#NAME?</definedName>
    <definedName name="_xlpm.Exponent" hidden="1" xlm="1">#NAME?</definedName>
    <definedName name="_xlpm.F" hidden="1" xlm="1">#NAME?</definedName>
    <definedName name="_xlpm.Function" hidden="1" xlm="1">#NAME?</definedName>
    <definedName name="_xlpm.G" hidden="1" xlm="1">#NAME?</definedName>
    <definedName name="_xlpm.H" hidden="1" xlm="1">#NAME?</definedName>
    <definedName name="_xlpm.I" hidden="1" xlm="1">#NAME?</definedName>
    <definedName name="_xlpm.Initial" hidden="1" xlm="1">#NAME?</definedName>
    <definedName name="_xlpm.J" hidden="1" xlm="1">#NAME?</definedName>
    <definedName name="_xlpm.K" hidden="1" xlm="1">#NAME?</definedName>
    <definedName name="_xlpm.L" hidden="1" xlm="1">#NAME?</definedName>
    <definedName name="_xlpm.M" hidden="1" xlm="1">#NAME?</definedName>
    <definedName name="_xlpm.Max" hidden="1" xlm="1">#NAME?</definedName>
    <definedName name="_xlpm.Min" hidden="1" xlm="1">#NAME?</definedName>
    <definedName name="_xlpm.N" hidden="1" xlm="1">#NAME?</definedName>
    <definedName name="_xlpm.New" hidden="1" xlm="1">#NAME?</definedName>
    <definedName name="_xlpm.O" hidden="1" xlm="1">#NAME?</definedName>
    <definedName name="_xlpm.Old" hidden="1" xlm="1">#NAME?</definedName>
    <definedName name="_xlpm.p" hidden="1" xlm="1">#NAME?</definedName>
    <definedName name="_xlpm.Predicate" hidden="1" xlm="1">#NAME?</definedName>
    <definedName name="_xlpm.Q" hidden="1" xlm="1">#NAME?</definedName>
    <definedName name="_xlpm.Start" hidden="1" xlm="1">#NAME?</definedName>
    <definedName name="_xlpm.Steps" hidden="1" xlm="1">#NAME?</definedName>
    <definedName name="_xlpm.Total" hidden="1" xlm="1">#NAME?</definedName>
    <definedName name="_xlpm.Value" hidden="1" xlm="1">#NAME?</definedName>
    <definedName name="_xlpm.x" hidden="1" xlm="1">#NAME?</definedName>
    <definedName name="_xlpm.y" hidden="1" xlm="1">#NAME?</definedName>
    <definedName name="Absolute">_xlfn.LAMBDA(_xlpm.x, ABS(_xlpm.x))</definedName>
    <definedName name="ACos">_xlfn.LAMBDA(_xlpm.x, ACOS(_xlpm.x))</definedName>
    <definedName name="ACosh">_xlfn.LAMBDA(_xlpm.x, ACOSH(_xlpm.x))</definedName>
    <definedName name="Add">_xlfn.LAMBDA(_xlpm.A,_xlpm.B, _xlpm.A+_xlpm.B)</definedName>
    <definedName name="All">_xlfn.LAMBDA(_xlpm.Predicate,_xlpm.Array,        AND(            _xlfn.MAP(_xlpm.Array,_xlpm.Predicate)        )    )</definedName>
    <definedName name="Any">_xlfn.LAMBDA(_xlpm.Predicate,_xlpm.Array,        OR(            _xlfn.MAP(_xlpm.Array,_xlpm.Predicate)        )    )</definedName>
    <definedName name="ASin">_xlfn.LAMBDA(_xlpm.x, ASIN(_xlpm.x))</definedName>
    <definedName name="ASinh">_xlfn.LAMBDA(_xlpm.x, ASINH(_xlpm.x))</definedName>
    <definedName name="ATan">_xlfn.LAMBDA(_xlpm.x, ATAN(_xlpm.x))</definedName>
    <definedName name="ATanh">_xlfn.LAMBDA(_xlpm.x, ATANH(_xlpm.x))</definedName>
    <definedName name="Average">_xlfn.LAMBDA(_xlpm.A,_xlpm.B, (_xlpm.A+_xlpm.B)/2)</definedName>
    <definedName name="Ceiling">_xlfn.LAMBDA(_xlpm.x,_xlpm.n, CEILING(_xlpm.x,_xlpm.n))</definedName>
    <definedName name="Clamp">_xlfn.LAMBDA(_xlpm.x,_xlpm.Min,_xlpm.Max, MAX(_xlpm.Min,MIN(_xlpm.Max,_xlpm.x)))</definedName>
    <definedName name="Compose">_xlfn.LAMBDA(_xlpm.F,_xlpm.G,        _xlfn.LAMBDA(_xlpm.X,            _xlpm.F(_xlpm.G(_xlpm.X))        )    )</definedName>
    <definedName name="Cos">_xlfn.LAMBDA(_xlpm.x, COS(_xlpm.x))</definedName>
    <definedName name="Cosh">_xlfn.LAMBDA(_xlpm.x, COSH(_xlpm.x))</definedName>
    <definedName name="Cube">_xlfn.LAMBDA(_xlpm.x, _xlpm.x^3)</definedName>
    <definedName name="Curry">_xlfn.LAMBDA(_xlpm.Function,_xlpm.A,_xlpm.B,_xlpm.C,_xlpm.D,_xlpm.E,_xlpm.F,_xlpm.G,_xlpm.H,_xlpm.I,        _xlfn.SWITCH(            TRUE,            _xlfn.ISOMITTED(_xlpm.A), _xlpm.Function,            _xlfn.ISOMITTED(_xlpm.B), Curry2(_xlpm.Function,_xlpm.A),            _xlfn.ISOMITTED(_xlpm.C), Curry3(_xlpm.Function,_xlpm.A,_xlpm.B),            _xlfn.ISOMITTED(_xlpm.D), Curry4(_xlpm.Function,_xlpm.A,_xlpm.B,_xlpm.C),            _xlfn.ISOMITTED(_xlpm.E), Curry5(_xlpm.Function,_xlpm.A,_xlpm.B,_xlpm.C,_xlpm.D),            _xlfn.ISOMITTED(_xlpm.F), Curry6(_xlpm.Function,_xlpm.A,_xlpm.B,_xlpm.C,_xlpm.D,_xlpm.E),            _xlfn.ISOMITTED(_xlpm.G), Curry7(_xlpm.Function,_xlpm.A,_xlpm.B,_xlpm.C,_xlpm.D,_xlpm.E,_xlpm.F),            _xlfn.ISOMITTED(_xlpm.H), Curry8(_xlpm.Function,_xlpm.A,_xlpm.B,_xlpm.C,_xlpm.D,_xlpm.E,_xlpm.F,_xlpm.G),            _xlfn.ISOMITTED(_xlpm.I), Curry9(_xlpm.Function,_xlpm.A,_xlpm.B,_xlpm.C,_xlpm.D,_xlpm.E,_xlpm.F,_xlpm.G,_xlpm.H),            _xlpm.Function(_xlpm.A,_xlpm.B,_xlpm.C,_xlpm.D,_xlpm.E,_xlpm.F,_xlpm.G,_xlpm.H,_xlpm.I)        )    )</definedName>
    <definedName name="Curry2">_xlfn.LAMBDA(_xlpm.Function,_xlpm.A,        _xlfn.LAMBDA(_xlpm.B,            _xlpm.Function(_xlpm.A,_xlpm.B)        )    )</definedName>
    <definedName name="Curry3">_xlfn.LAMBDA(_xlpm.Function,_xlpm.A,_xlpm.B,        Curry2(            _xlfn.LAMBDA(_xlpm.B,_xlpm.C, _xlpm.Function(_xlpm.A,_xlpm.B,_xlpm.C)),            _xlpm.B        )    )</definedName>
    <definedName name="Curry4">_xlfn.LAMBDA(_xlpm.Function,_xlpm.A,_xlpm.B,_xlpm.C,        Curry3(            _xlfn.LAMBDA(_xlpm.B,_xlpm.C,_xlpm.D, _xlpm.Function(_xlpm.A,_xlpm.B,_xlpm.C,_xlpm.D)),            _xlpm.B,            _xlpm.C        )    )</definedName>
    <definedName name="Curry5">_xlfn.LAMBDA(_xlpm.Function,_xlpm.A,_xlpm.B,_xlpm.C,_xlpm.D,        Curry4(            _xlfn.LAMBDA(_xlpm.B,_xlpm.C,_xlpm.D,_xlpm.E, _xlpm.Function(_xlpm.A,_xlpm.B,_xlpm.C,_xlpm.D,_xlpm.E)),            _xlpm.B,            _xlpm.C,            _xlpm.D        )    )</definedName>
    <definedName name="Curry6">_xlfn.LAMBDA(_xlpm.Function,_xlpm.A,_xlpm.B,_xlpm.C,_xlpm.D,_xlpm.E,        Curry5(            _xlfn.LAMBDA(_xlpm.B,_xlpm.C,_xlpm.D,_xlpm.E,_xlpm.F, _xlpm.Function(_xlpm.A,_xlpm.B,_xlpm.C,_xlpm.D,_xlpm.E,_xlpm.F)),            _xlpm.B,            _xlpm.C,            _xlpm.D,            _xlpm.E        )    )</definedName>
    <definedName name="Curry7">_xlfn.LAMBDA(_xlpm.Function,_xlpm.A,_xlpm.B,_xlpm.C,_xlpm.D,_xlpm.E,_xlpm.F,        Curry6(            _xlfn.LAMBDA(_xlpm.B,_xlpm.C,_xlpm.D,_xlpm.E,_xlpm.F,_xlpm.G, _xlpm.Function(_xlpm.A,_xlpm.B,_xlpm.C,_xlpm.D,_xlpm.E,_xlpm.F,_xlpm.G)),            _xlpm.B,            _xlpm.C,            _xlpm.D,            _xlpm.E,            _xlpm.F        )    )</definedName>
    <definedName name="Curry8">_xlfn.LAMBDA(_xlpm.Function,_xlpm.A,_xlpm.B,_xlpm.C,_xlpm.D,_xlpm.E,_xlpm.F,_xlpm.G,        Curry7(            _xlfn.LAMBDA(_xlpm.B,_xlpm.C,_xlpm.D,_xlpm.E,_xlpm.F,_xlpm.G,_xlpm.H, _xlpm.Function(_xlpm.A,_xlpm.B,_xlpm.C,_xlpm.D,_xlpm.E,_xlpm.F,_xlpm.G,_xlpm.H)),            _xlpm.B,            _xlpm.C,            _xlpm.D,            _xlpm.E,            _xlpm.F,            _xlpm.G        )    )</definedName>
    <definedName name="Curry9">_xlfn.LAMBDA(_xlpm.Function,_xlpm.A,_xlpm.B,_xlpm.C,_xlpm.D,_xlpm.E,_xlpm.F,_xlpm.G,_xlpm.H,        Curry8(            _xlfn.LAMBDA(_xlpm.B,_xlpm.C,_xlpm.D,_xlpm.E,_xlpm.F,_xlpm.G,_xlpm.H,_xlpm.I, _xlpm.Function(_xlpm.A,_xlpm.B,_xlpm.C,_xlpm.D,_xlpm.E,_xlpm.F,_xlpm.G,_xlpm.H,_xlpm.I)),            _xlpm.B,            _xlpm.C,            _xlpm.D,            _xlpm.E,            _xlpm.F,            _xlpm.G,            _xlpm.H        )    )</definedName>
    <definedName name="DecreaseBy">_xlfn.LAMBDA(_xlpm.x,_xlpm.p, _xlpm.x*(1-_xlpm.p))</definedName>
    <definedName name="Degrees">_xlfn.LAMBDA(_xlpm.x, DEGREES(_xlpm.x))</definedName>
    <definedName name="Derivative">_xlfn.LAMBDA(_xlpm.f,_xlpm.x,_xlop.h,        _xlfn.LET(_xlpm.dx, IF(_xlfn.ISOMITTED(_xlpm.h),_xlpm.h,0.000001),            (_xlpm.f(_xlpm.x+_xlpm.dx)-_xlpm.f(_xlpm.x-_xlpm.dx))/(2*_xlpm.dx)        )    )</definedName>
    <definedName name="Distance">_xlfn.LAMBDA(_xlpm.A,_xlpm.B, ABS(_xlpm.A-_xlpm.B))</definedName>
    <definedName name="Divide">_xlfn.LAMBDA(_xlpm.A,_xlpm.B, _xlpm.A/_xlpm.B)</definedName>
    <definedName name="Double">_xlfn.LAMBDA(_xlpm.x, _xlpm.x*2)</definedName>
    <definedName name="Drop">_xlfn.LAMBDA(_xlpm.N,_xlpm.Array,        _xlfn.DROP(_xlpm.Array,_xlpm.N)    )</definedName>
    <definedName name="Exp">_xlfn.LAMBDA(_xlpm.x, EXP(_xlpm.x))</definedName>
    <definedName name="Factorial">_xlfn.LAMBDA(_xlpm.x, FACT(_xlpm.x))</definedName>
    <definedName name="Fibonacci">_xlfn.LAMBDA(_xlpm.x, Fibonacci(_xlpm.x))</definedName>
    <definedName name="Filter">_xlfn.LAMBDA(_xlpm.Predicate,_xlpm.Array,        _xlfn._xlws.FILTER(            _xlpm.Array,            _xlfn.MAP(_xlpm.Array,_xlpm.Predicate)        )    )</definedName>
    <definedName name="Find">_xlfn.LAMBDA(_xlpm.Predicate,_xlpm.Array,        _xlfn.XMATCH(            TRUE,            _xlfn.MAP(_xlpm.Array,_xlpm.Predicate),            0        )    )</definedName>
    <definedName name="Flip">_xlfn.LAMBDA(_xlpm.Function,        _xlfn.LAMBDA(_xlpm.A,_xlpm.B,            _xlpm.Function(_xlpm.B,_xlpm.A)        )    )</definedName>
    <definedName name="Floor">_xlfn.LAMBDA(_xlpm.x,_xlpm.n, FLOOR(_xlpm.x,_xlpm.n))</definedName>
    <definedName name="FromPercent">_xlfn.LAMBDA(_xlpm.x, _xlpm.x/100)</definedName>
    <definedName name="GCD">_xlfn.LAMBDA(_xlpm.A,_xlpm.B, GCD(_xlpm.A,_xlpm.B))</definedName>
    <definedName name="Half">_xlfn.LAMBDA(_xlpm.x, _xlpm.x/2)</definedName>
    <definedName name="Head">_xlfn.LAMBDA(_xlpm.Array,        _xlfn.TAKE(_xlpm.Array,1)    )</definedName>
    <definedName name="Hypotenuse">_xlfn.LAMBDA(_xlpm.A,_xlpm.B, SQRT(_xlpm.A^2+_xlpm.B^2))</definedName>
    <definedName name="Identity">_xlfn.LAMBDA(_xlpm.X,        _xlpm.X    )</definedName>
    <definedName name="IncreaseBy">_xlfn.LAMBDA(_xlpm.x,_xlpm.p, _xlpm.x*(1+_xlpm.p))</definedName>
    <definedName name="Integrate">_xlfn.LAMBDA(_xlpm.f,_xlpm.Start,_xlpm.End,_xlpm.Steps,        _xlfn.LET(            _xlpm.dx, (_xlpm.End-_xlpm.Start)/_xlpm.Steps,            _xlpm.x, _xlfn.SEQUENCE(_xlpm.Steps+1,,_xlpm.Start,_xlpm.dx),            _xlpm.y, _xlfn.MAP(_xlpm.x,_xlpm.f),            _xlpm.dx*(SUM(_xlpm.y)-((INDEX(_xlpm.y,1)+INDEX(_xlpm.y,_xlpm.Steps+1))/2))        )    )</definedName>
    <definedName name="Invoke">_xlfn.LAMBDA(_xlpm.x,IFERROR(_xlpm.x(),_xlpm.x))</definedName>
    <definedName name="IsEven">_xlfn.LAMBDA(_xlpm.x, IS.EVEN(_xlpm.x))</definedName>
    <definedName name="IsOdd">_xlfn.LAMBDA(_xlpm.x, IS.ODD(_xlpm.x))</definedName>
    <definedName name="LCM">_xlfn.LAMBDA(_xlpm.A,_xlpm.B, LCM(_xlpm.A,_xlpm.B))</definedName>
    <definedName name="Ln">_xlfn.LAMBDA(_xlpm.x, LN(_xlpm.x))</definedName>
    <definedName name="Log">_xlfn.LAMBDA(_xlpm.Base,_xlpm.x, LOG(_xlpm.x,_xlpm.Base))</definedName>
    <definedName name="Log10Log">_xlfn.LAMBDA(_xlpm.x,LOG10(_xlpm.x))</definedName>
    <definedName name="Map">_xlfn.LAMBDA(_xlpm.Function,_xlpm.Array,        _xlfn.MAP(            _xlpm.Array,            _xlpm.Function        )    )</definedName>
    <definedName name="Max">_xlfn.LAMBDA(_xlpm.A,_xlpm.B, MAX(_xlpm.A,_xlpm.B))</definedName>
    <definedName name="Maximum">_xlfn.LAMBDA(_xlpm.A,_xlpm.B, MAX(_xlpm.A,_xlpm.B))</definedName>
    <definedName name="Mean">_xlfn.LAMBDA(_xlpm.Array, AVERAGE(_xlpm.Array))</definedName>
    <definedName name="Median">_xlfn.LAMBDA(_xlpm.Array, MEDIAN(_xlpm.Array))</definedName>
    <definedName name="Midpoint">_xlfn.LAMBDA(_xlpm.A,_xlpm.B, (_xlpm.A+_xlpm.B)/2)</definedName>
    <definedName name="Min">_xlfn.LAMBDA(_xlpm.A,_xlpm.B, MIN(_xlpm.A,_xlpm.B))</definedName>
    <definedName name="Minimum">_xlfn.LAMBDA(_xlpm.A,_xlpm.B, MIN(_xlpm.A,_xlpm.B))</definedName>
    <definedName name="Mod">_xlfn.LAMBDA(_xlpm.A,_xlpm.B, MOD(_xlpm.A,_xlpm.B))</definedName>
    <definedName name="Multiply">_xlfn.LAMBDA(_xlpm.A,_xlpm.B, _xlpm.A*_xlpm.B)</definedName>
    <definedName name="Negate">_xlfn.LAMBDA(_xlpm.x, -_xlpm.x)</definedName>
    <definedName name="Normalize">_xlfn.LAMBDA(_xlpm.x,_xlpm.Min,_xlpm.Max, (_xlpm.x-_xlpm.Min)/(_xlpm.Max-_xlpm.Min))</definedName>
    <definedName name="Partial">_xlfn.LAMBDA(_xlpm.Function,_xlpm.A,_xlpm.B,_xlpm.C,_xlpm.D,_xlpm.E,_xlpm.F,_xlpm.G,_xlpm.H,_xlpm.I,        _xlfn.SWITCH(            TRUE,            _xlfn.ISOMITTED(_xlpm.A), _xlpm.Function,            _xlfn.ISOMITTED(_xlpm.B), _xlfn.LAMBDA(_xlpm.J, _xlpm.Function(_xlpm.A,_xlpm.J)),            _xlfn.ISOMITTED(_xlpm.C), _xlfn.LAMBDA(_xlpm.J,_xlpm.K, _xlpm.Function(_xlpm.A,_xlpm.B,_xlpm.J,_xlpm.K)),            _xlfn.ISOMITTED(_xlpm.D), _xlfn.LAMBDA(_xlpm.J,_xlpm.K,_xlpm.L, _xlpm.Function(_xlpm.A,_xlpm.B,_xlpm.C,_xlpm.J,_xlpm.K,_xlpm.L)),            _xlfn.ISOMITTED(_xlpm.E), _xlfn.LAMBDA(_xlpm.J,_xlpm.K,_xlpm.L,_xlpm.M, _xlpm.Function(_xlpm.A,_xlpm.B,_xlpm.C,_xlpm.D,_xlpm.J,_xlpm.K,_xlpm.L,_xlpm.M)),            _xlfn.ISOMITTED(_xlpm.F), _xlfn.LAMBDA(_xlpm.J,_xlpm.K,_xlpm.L,_xlpm.M,_xlpm.N, _xlpm.Function(_xlpm.A,_xlpm.B,_xlpm.C,_xlpm.D,_xlpm.E,_xlpm.J,_xlpm.K,_xlpm.L,_xlpm.M,_xlpm.N)),            _xlfn.ISOMITTED(_xlpm.G), _xlfn.LAMBDA(_xlpm.J,_xlpm.K,_xlpm.L,_xlpm.M,_xlpm.N,_xlpm.O, _xlpm.Function(_xlpm.A,_xlpm.B,_xlpm.C,_xlpm.D,_xlpm.E,_xlpm.F,_xlpm.J,_xlpm.K,_xlpm.L,_xlpm.M,_xlpm.N,_xlpm.O)),            _xlfn.ISOMITTED(_xlpm.H), _xlfn.LAMBDA(_xlpm.J,_xlpm.K,_xlpm.L,_xlpm.M,_xlpm.N,_xlpm.O,_xlpm.P, _xlpm.Function(_xlpm.A,_xlpm.B,_xlpm.C,_xlpm.D,_xlpm.E,_xlpm.F,_xlpm.G,_xlpm.J,_xlpm.K,_xlpm.L,_xlpm.M,_xlpm.N,_xlpm.O,_xlpm.P)),            _xlfn.ISOMITTED(_xlpm.I), _xlfn.LAMBDA(_xlpm.J,_xlpm.K,_xlpm.L,_xlpm.M,_xlpm.N,_xlpm.O,_xlpm.P,_xlpm.Q, _xlpm.Function(_xlpm.A,_xlpm.B,_xlpm.C,_xlpm.D,_xlpm.E,_xlpm.F,_xlpm.G,_xlpm.H,_xlpm.J,_xlpm.K,_xlpm.L,_xlpm.M,_xlpm.N,_xlpm.O,_xlpm.P,_xlpm.Q)),            _xlpm.Function(_xlpm.A,_xlpm.B,_xlpm.C,_xlpm.D,_xlpm.E,_xlpm.F,_xlpm.G,_xlpm.H,_xlpm.I)         )    )</definedName>
    <definedName name="PercentChange">_xlfn.LAMBDA(_xlpm.Old,_xlpm.New, (_xlpm.New-_xlpm.Old)/_xlpm.Old)</definedName>
    <definedName name="PercentOf">_xlfn.LAMBDA(_xlpm.Value,_xlpm.Total, _xlpm.Value/_xlpm.Total)</definedName>
    <definedName name="Pipe">_xlfn.LAMBDA(_xlpm.F,_xlpm.G,        _xlfn.LAMBDA(_xlpm.X,            _xlpm.G(_xlpm.F(_xlpm.X))        )    )</definedName>
    <definedName name="Power">_xlfn.LAMBDA(_xlpm.Base,_xlpm.Exponent, _xlpm.Base^_xlpm.Exponent)</definedName>
    <definedName name="Radians">_xlfn.LAMBDA(_xlpm.x, RADIANS(_xlpm.x))</definedName>
    <definedName name="Reciprocal">_xlfn.LAMBDA(_xlpm.x, 1/_xlpm.x)</definedName>
    <definedName name="Reduce">_xlfn.LAMBDA(_xlpm.Function,_xlpm.Initial,_xlpm.Array,        _xlfn.REDUCE(            _xlpm.Initial,            _xlpm.Array,            _xlfn.LAMBDA(_xlpm.Accumulator,_xlpm.Value,                _xlpm.Function(_xlpm.Accumulator,_xlpm.Value)            )        )    )</definedName>
    <definedName name="Round">_xlfn.LAMBDA(_xlpm.x,_xlpm.n, ROUND(_xlpm.x,_xlpm.n))</definedName>
    <definedName name="Scan">_xlfn.LAMBDA(_xlpm.Function,_xlpm.Initial,_xlpm.Array,        _xlfn.SCAN(            _xlpm.Initial,            _xlpm.Array,            _xlfn.LAMBDA(_xlpm.Accumulator,_xlpm.Value,                _xlpm.Function(_xlpm.Accumulator,_xlpm.Value)            )        )    )</definedName>
    <definedName name="Sign">_xlfn.LAMBDA(_xlpm.x, SIGN(_xlpm.x))</definedName>
    <definedName name="Sin">_xlfn.LAMBDA(_xlpm.x, SIN(_xlpm.x))</definedName>
    <definedName name="Sinh">_xlfn.LAMBDA(_xlpm.x, SINH(_xlpm.x))</definedName>
    <definedName name="Square">_xlfn.LAMBDA(_xlpm.x, _xlpm.x^2)</definedName>
    <definedName name="SquareRoot">_xlfn.LAMBDA(_xlpm.x, SQRT(_xlpm.x))</definedName>
    <definedName name="StandardDeviation">_xlfn.LAMBDA(_xlpm.Array, _xlfn.STDEV.S(_xlpm.Array))</definedName>
    <definedName name="Subtract">_xlfn.LAMBDA(_xlpm.A,_xlpm.B, _xlpm.A-_xlpm.B)</definedName>
    <definedName name="Tail">_xlfn.LAMBDA(_xlpm.Array,        _xlfn.DROP(_xlpm.Array,1)    )</definedName>
    <definedName name="Take">_xlfn.LAMBDA(_xlpm.N,_xlpm.Array,        _xlfn.TAKE(_xlpm.Array,_xlpm.N)    )</definedName>
    <definedName name="Tan">_xlfn.LAMBDA(_xlpm.x, TAN(_xlpm.x))</definedName>
    <definedName name="Tanh">_xlfn.LAMBDA(_xlpm.x, TANH(_xlpm.x))</definedName>
    <definedName name="ToPercent">_xlfn.LAMBDA(_xlpm.x, _xlpm.x*100)</definedName>
    <definedName name="Truncate">_xlfn.LAMBDA(_xlpm.x,_xlpm.n, TRUNC(_xlpm.x,_xlpm.n))</definedName>
    <definedName name="Variance">_xlfn.LAMBDA(_xlpm.Array, _xlfn.VAR.S(_xlpm.Array))</definedName>
    <definedName name="Zip">_xlfn.LAMBDA(_xlpm.A,_xlpm.B,        _xlfn.HSTACK(_xlpm.A,_xlpm.B)    )</definedName>
    <definedName name="ZipWith">_xlfn.LAMBDA(_xlpm.Function,_xlpm.A,_xlpm.B,        _xlfn.MAP(            _xlpm.A,            _xlpm.B,            _xlpm.Function        )    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O22" i="1" l="1"/>
  <c r="O24" i="1" s="1" a="1"/>
  <c r="F10" i="1" a="1"/>
  <c r="F10" i="1" s="1"/>
  <c r="I9" i="1" a="1"/>
  <c r="I9" i="1" s="1"/>
  <c r="O24" i="1" l="1"/>
  <c r="O25" i="1" s="1" a="1"/>
  <c r="O25" i="1" s="1"/>
  <c r="F11" i="1" a="1"/>
  <c r="F11" i="1" s="1"/>
  <c r="J10" i="1" s="1"/>
  <c r="O27" i="1" l="1" a="1"/>
  <c r="O27" i="1" s="1"/>
  <c r="K10" i="1"/>
  <c r="P10" i="1"/>
  <c r="M10" i="1"/>
  <c r="Q10" i="1"/>
  <c r="U10" i="1"/>
  <c r="N10" i="1"/>
  <c r="O10" i="1"/>
  <c r="S10" i="1"/>
  <c r="T10" i="1"/>
  <c r="V10" i="1"/>
  <c r="W10" i="1"/>
  <c r="L10" i="1"/>
  <c r="R10" i="1"/>
  <c r="I1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<sst xmlns="http://schemas.openxmlformats.org/spreadsheetml/2006/main" count="14" uniqueCount="14">
  <si>
    <t>X</t>
  </si>
  <si>
    <t>Derivat</t>
  </si>
  <si>
    <t>Input</t>
  </si>
  <si>
    <t>Derivat Linie</t>
  </si>
  <si>
    <t>Function Linie</t>
  </si>
  <si>
    <t>dx</t>
  </si>
  <si>
    <t>Y</t>
  </si>
  <si>
    <t>b</t>
  </si>
  <si>
    <t>a</t>
  </si>
  <si>
    <t>n</t>
  </si>
  <si>
    <t>h</t>
  </si>
  <si>
    <t>x</t>
  </si>
  <si>
    <t>y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</si>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</sst>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7" formatCode="0.000"/>
  </numFmts>
  <fonts count="2" x14ac:knownFonts="1">
    <font>
      <sz val="11"/>
      <color theme="1"/>
      <name val="Arial"/>
      <family val="2"/>
    </font>
    <font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67" fontId="0" fillId="0" borderId="0" xfId="0" applyNumberFormat="1" applyFont="1"/>
    <xf numFmtId="167" fontId="0" fillId="0" borderId="0" xfId="0" applyNumberFormat="1" applyFont="1" applyAlignment="1">
      <alignment wrapText="1"/>
    </xf>
    <xf numFmtId="167" fontId="1" fillId="0" borderId="0" xfId="0" applyNumberFormat="1" applyFont="1" applyAlignment="1">
      <alignment vertical="center" wrapText="1"/>
    </xf>
    <xf numFmtId="167" fontId="1" fillId="0" borderId="0" xfId="0" applyNumberFormat="1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Sheet1!$H$9</c:f>
              <c:strCache>
                <c:ptCount val="1"/>
                <c:pt idx="0">
                  <c:v>Function Linie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Sheet1!$I$9:$W$9</c:f>
              <c:numCache>
                <c:formatCode>0.000</c:formatCode>
                <c:ptCount val="15"/>
                <c:pt idx="0">
                  <c:v>0</c:v>
                </c:pt>
                <c:pt idx="1">
                  <c:v>0.3010299956639812</c:v>
                </c:pt>
                <c:pt idx="2">
                  <c:v>0.47712125471966244</c:v>
                </c:pt>
                <c:pt idx="3">
                  <c:v>0.6020599913279624</c:v>
                </c:pt>
                <c:pt idx="4">
                  <c:v>0.69897000433601886</c:v>
                </c:pt>
                <c:pt idx="5">
                  <c:v>0.77815125038364363</c:v>
                </c:pt>
                <c:pt idx="6">
                  <c:v>0.84509804001425681</c:v>
                </c:pt>
                <c:pt idx="7">
                  <c:v>0.90308998699194354</c:v>
                </c:pt>
                <c:pt idx="8">
                  <c:v>0.95424250943932487</c:v>
                </c:pt>
                <c:pt idx="9">
                  <c:v>1</c:v>
                </c:pt>
                <c:pt idx="10">
                  <c:v>1.0413926851582251</c:v>
                </c:pt>
                <c:pt idx="11">
                  <c:v>1.0791812460476249</c:v>
                </c:pt>
                <c:pt idx="12">
                  <c:v>1.1139433523068367</c:v>
                </c:pt>
                <c:pt idx="13">
                  <c:v>1.146128035678238</c:v>
                </c:pt>
                <c:pt idx="14">
                  <c:v>1.1760912590556813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4B-45F9-A2AA-FF5723C2D423}"/>
            </c:ext>
          </c:extLst>
        </c:ser>
        <c:ser>
          <c:idx val="1"/>
          <c:order val="1"/>
          <c:tx>
            <c:strRef>
              <c:f>Sheet1!$H$10</c:f>
              <c:strCache>
                <c:ptCount val="1"/>
                <c:pt idx="0">
                  <c:v>Derivat Linie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Sheet1!$I$10:$W$10</c:f>
              <c:numCache>
                <c:formatCode>0.000</c:formatCode>
                <c:ptCount val="15"/>
                <c:pt idx="0">
                  <c:v>0.60913496616088381</c:v>
                </c:pt>
                <c:pt idx="1">
                  <c:v>0.65256441436523005</c:v>
                </c:pt>
                <c:pt idx="2">
                  <c:v>0.69599386256957629</c:v>
                </c:pt>
                <c:pt idx="3">
                  <c:v>0.73942331077392254</c:v>
                </c:pt>
                <c:pt idx="4">
                  <c:v>0.78285275897826878</c:v>
                </c:pt>
                <c:pt idx="5">
                  <c:v>0.82628220718261502</c:v>
                </c:pt>
                <c:pt idx="6">
                  <c:v>0.86971165538696127</c:v>
                </c:pt>
                <c:pt idx="7">
                  <c:v>0.91314110359130751</c:v>
                </c:pt>
                <c:pt idx="8">
                  <c:v>0.95657055179565376</c:v>
                </c:pt>
                <c:pt idx="9">
                  <c:v>1</c:v>
                </c:pt>
                <c:pt idx="10">
                  <c:v>1.0434294482043462</c:v>
                </c:pt>
                <c:pt idx="11">
                  <c:v>1.0868588964086925</c:v>
                </c:pt>
                <c:pt idx="12">
                  <c:v>1.1302883446130387</c:v>
                </c:pt>
                <c:pt idx="13">
                  <c:v>1.173717792817385</c:v>
                </c:pt>
                <c:pt idx="14">
                  <c:v>1.2171472410217312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4B-45F9-A2AA-FF5723C2D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048512"/>
        <c:axId val="293050432"/>
      </c:lineChart>
      <c:catAx>
        <c:axId val="293048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3050432"/>
        <c:crosses val="autoZero"/>
        <c:auto val="1"/>
        <c:lblAlgn val="ctr"/>
        <c:lblOffset val="100"/>
        <c:noMultiLvlLbl val="0"/>
      </c:catAx>
      <c:valAx>
        <c:axId val="29305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3048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Sheet1!$O$24:$JJ$24</c:f>
              <c:numCache>
                <c:formatCode>0.000</c:formatCode>
                <c:ptCount val="256"/>
                <c:pt idx="0">
                  <c:v>0</c:v>
                </c:pt>
                <c:pt idx="1">
                  <c:v>2.4509803921568627E-2</c:v>
                </c:pt>
                <c:pt idx="2">
                  <c:v>4.9019607843137254E-2</c:v>
                </c:pt>
                <c:pt idx="3">
                  <c:v>7.3529411764705885E-2</c:v>
                </c:pt>
                <c:pt idx="4">
                  <c:v>9.8039215686274508E-2</c:v>
                </c:pt>
                <c:pt idx="5">
                  <c:v>0.12254901960784313</c:v>
                </c:pt>
                <c:pt idx="6">
                  <c:v>0.14705882352941177</c:v>
                </c:pt>
                <c:pt idx="7">
                  <c:v>0.17156862745098039</c:v>
                </c:pt>
                <c:pt idx="8">
                  <c:v>0.19607843137254902</c:v>
                </c:pt>
                <c:pt idx="9">
                  <c:v>0.22058823529411764</c:v>
                </c:pt>
                <c:pt idx="10">
                  <c:v>0.24509803921568626</c:v>
                </c:pt>
                <c:pt idx="11">
                  <c:v>0.26960784313725489</c:v>
                </c:pt>
                <c:pt idx="12">
                  <c:v>0.29411764705882354</c:v>
                </c:pt>
                <c:pt idx="13">
                  <c:v>0.31862745098039219</c:v>
                </c:pt>
                <c:pt idx="14">
                  <c:v>0.34313725490196084</c:v>
                </c:pt>
                <c:pt idx="15">
                  <c:v>0.36764705882352949</c:v>
                </c:pt>
                <c:pt idx="16">
                  <c:v>0.39215686274509814</c:v>
                </c:pt>
                <c:pt idx="17">
                  <c:v>0.4166666666666668</c:v>
                </c:pt>
                <c:pt idx="18">
                  <c:v>0.44117647058823545</c:v>
                </c:pt>
                <c:pt idx="19">
                  <c:v>0.4656862745098041</c:v>
                </c:pt>
                <c:pt idx="20">
                  <c:v>0.49019607843137275</c:v>
                </c:pt>
                <c:pt idx="21">
                  <c:v>0.51470588235294135</c:v>
                </c:pt>
                <c:pt idx="22">
                  <c:v>0.53921568627451</c:v>
                </c:pt>
                <c:pt idx="23">
                  <c:v>0.56372549019607865</c:v>
                </c:pt>
                <c:pt idx="24">
                  <c:v>0.5882352941176473</c:v>
                </c:pt>
                <c:pt idx="25">
                  <c:v>0.61274509803921595</c:v>
                </c:pt>
                <c:pt idx="26">
                  <c:v>0.6372549019607846</c:v>
                </c:pt>
                <c:pt idx="27">
                  <c:v>0.66176470588235325</c:v>
                </c:pt>
                <c:pt idx="28">
                  <c:v>0.68627450980392191</c:v>
                </c:pt>
                <c:pt idx="29">
                  <c:v>0.71078431372549056</c:v>
                </c:pt>
                <c:pt idx="30">
                  <c:v>0.73529411764705921</c:v>
                </c:pt>
                <c:pt idx="31">
                  <c:v>0.75980392156862786</c:v>
                </c:pt>
                <c:pt idx="32">
                  <c:v>0.78431372549019651</c:v>
                </c:pt>
                <c:pt idx="33">
                  <c:v>0.80882352941176516</c:v>
                </c:pt>
                <c:pt idx="34">
                  <c:v>0.83333333333333381</c:v>
                </c:pt>
                <c:pt idx="35">
                  <c:v>0.85784313725490247</c:v>
                </c:pt>
                <c:pt idx="36">
                  <c:v>0.88235294117647112</c:v>
                </c:pt>
                <c:pt idx="37">
                  <c:v>0.90686274509803977</c:v>
                </c:pt>
                <c:pt idx="38">
                  <c:v>0.93137254901960842</c:v>
                </c:pt>
                <c:pt idx="39">
                  <c:v>0.95588235294117707</c:v>
                </c:pt>
                <c:pt idx="40">
                  <c:v>0.98039215686274572</c:v>
                </c:pt>
                <c:pt idx="41">
                  <c:v>1.0049019607843144</c:v>
                </c:pt>
                <c:pt idx="42">
                  <c:v>1.0294117647058829</c:v>
                </c:pt>
                <c:pt idx="43">
                  <c:v>1.0539215686274515</c:v>
                </c:pt>
                <c:pt idx="44">
                  <c:v>1.07843137254902</c:v>
                </c:pt>
                <c:pt idx="45">
                  <c:v>1.1029411764705885</c:v>
                </c:pt>
                <c:pt idx="46">
                  <c:v>1.1274509803921571</c:v>
                </c:pt>
                <c:pt idx="47">
                  <c:v>1.1519607843137256</c:v>
                </c:pt>
                <c:pt idx="48">
                  <c:v>1.1764705882352942</c:v>
                </c:pt>
                <c:pt idx="49">
                  <c:v>1.2009803921568627</c:v>
                </c:pt>
                <c:pt idx="50">
                  <c:v>1.2254901960784312</c:v>
                </c:pt>
                <c:pt idx="51">
                  <c:v>1.2499999999999998</c:v>
                </c:pt>
                <c:pt idx="52">
                  <c:v>1.2745098039215683</c:v>
                </c:pt>
                <c:pt idx="53">
                  <c:v>1.2990196078431369</c:v>
                </c:pt>
                <c:pt idx="54">
                  <c:v>1.3235294117647054</c:v>
                </c:pt>
                <c:pt idx="55">
                  <c:v>1.3480392156862739</c:v>
                </c:pt>
                <c:pt idx="56">
                  <c:v>1.3725490196078425</c:v>
                </c:pt>
                <c:pt idx="57">
                  <c:v>1.397058823529411</c:v>
                </c:pt>
                <c:pt idx="58">
                  <c:v>1.4215686274509796</c:v>
                </c:pt>
                <c:pt idx="59">
                  <c:v>1.4460784313725481</c:v>
                </c:pt>
                <c:pt idx="60">
                  <c:v>1.4705882352941166</c:v>
                </c:pt>
                <c:pt idx="61">
                  <c:v>1.4950980392156852</c:v>
                </c:pt>
                <c:pt idx="62">
                  <c:v>1.5196078431372537</c:v>
                </c:pt>
                <c:pt idx="63">
                  <c:v>1.5441176470588223</c:v>
                </c:pt>
                <c:pt idx="64">
                  <c:v>1.5686274509803908</c:v>
                </c:pt>
                <c:pt idx="65">
                  <c:v>1.5931372549019593</c:v>
                </c:pt>
                <c:pt idx="66">
                  <c:v>1.6176470588235279</c:v>
                </c:pt>
                <c:pt idx="67">
                  <c:v>1.6421568627450964</c:v>
                </c:pt>
                <c:pt idx="68">
                  <c:v>1.666666666666665</c:v>
                </c:pt>
                <c:pt idx="69">
                  <c:v>1.6911764705882335</c:v>
                </c:pt>
                <c:pt idx="70">
                  <c:v>1.715686274509802</c:v>
                </c:pt>
                <c:pt idx="71">
                  <c:v>1.7401960784313706</c:v>
                </c:pt>
                <c:pt idx="72">
                  <c:v>1.7647058823529391</c:v>
                </c:pt>
                <c:pt idx="73">
                  <c:v>1.7892156862745077</c:v>
                </c:pt>
                <c:pt idx="74">
                  <c:v>1.8137254901960762</c:v>
                </c:pt>
                <c:pt idx="75">
                  <c:v>1.8382352941176447</c:v>
                </c:pt>
                <c:pt idx="76">
                  <c:v>1.8627450980392133</c:v>
                </c:pt>
                <c:pt idx="77">
                  <c:v>1.8872549019607818</c:v>
                </c:pt>
                <c:pt idx="78">
                  <c:v>1.9117647058823504</c:v>
                </c:pt>
                <c:pt idx="79">
                  <c:v>1.9362745098039189</c:v>
                </c:pt>
                <c:pt idx="80">
                  <c:v>1.9607843137254874</c:v>
                </c:pt>
                <c:pt idx="81">
                  <c:v>1.985294117647056</c:v>
                </c:pt>
                <c:pt idx="82">
                  <c:v>2.0098039215686248</c:v>
                </c:pt>
                <c:pt idx="83">
                  <c:v>2.0343137254901933</c:v>
                </c:pt>
                <c:pt idx="84">
                  <c:v>2.0588235294117618</c:v>
                </c:pt>
                <c:pt idx="85">
                  <c:v>2.0833333333333304</c:v>
                </c:pt>
                <c:pt idx="86">
                  <c:v>2.1078431372548989</c:v>
                </c:pt>
                <c:pt idx="87">
                  <c:v>2.1323529411764675</c:v>
                </c:pt>
                <c:pt idx="88">
                  <c:v>2.156862745098036</c:v>
                </c:pt>
                <c:pt idx="89">
                  <c:v>2.1813725490196045</c:v>
                </c:pt>
                <c:pt idx="90">
                  <c:v>2.2058823529411731</c:v>
                </c:pt>
                <c:pt idx="91">
                  <c:v>2.2303921568627416</c:v>
                </c:pt>
                <c:pt idx="92">
                  <c:v>2.2549019607843102</c:v>
                </c:pt>
                <c:pt idx="93">
                  <c:v>2.2794117647058787</c:v>
                </c:pt>
                <c:pt idx="94">
                  <c:v>2.3039215686274472</c:v>
                </c:pt>
                <c:pt idx="95">
                  <c:v>2.3284313725490158</c:v>
                </c:pt>
                <c:pt idx="96">
                  <c:v>2.3529411764705843</c:v>
                </c:pt>
                <c:pt idx="97">
                  <c:v>2.3774509803921529</c:v>
                </c:pt>
                <c:pt idx="98">
                  <c:v>2.4019607843137214</c:v>
                </c:pt>
                <c:pt idx="99">
                  <c:v>2.4264705882352899</c:v>
                </c:pt>
                <c:pt idx="100">
                  <c:v>2.4509803921568585</c:v>
                </c:pt>
                <c:pt idx="101">
                  <c:v>2.475490196078427</c:v>
                </c:pt>
                <c:pt idx="102">
                  <c:v>2.4999999999999956</c:v>
                </c:pt>
                <c:pt idx="103">
                  <c:v>2.5245098039215641</c:v>
                </c:pt>
                <c:pt idx="104">
                  <c:v>2.5490196078431326</c:v>
                </c:pt>
                <c:pt idx="105">
                  <c:v>2.5735294117647012</c:v>
                </c:pt>
                <c:pt idx="106">
                  <c:v>2.5980392156862697</c:v>
                </c:pt>
                <c:pt idx="107">
                  <c:v>2.6225490196078383</c:v>
                </c:pt>
                <c:pt idx="108">
                  <c:v>2.6470588235294068</c:v>
                </c:pt>
                <c:pt idx="109">
                  <c:v>2.6715686274509753</c:v>
                </c:pt>
                <c:pt idx="110">
                  <c:v>2.6960784313725439</c:v>
                </c:pt>
                <c:pt idx="111">
                  <c:v>2.7205882352941124</c:v>
                </c:pt>
                <c:pt idx="112">
                  <c:v>2.745098039215681</c:v>
                </c:pt>
                <c:pt idx="113">
                  <c:v>2.7696078431372495</c:v>
                </c:pt>
                <c:pt idx="114">
                  <c:v>2.794117647058818</c:v>
                </c:pt>
                <c:pt idx="115">
                  <c:v>2.8186274509803866</c:v>
                </c:pt>
                <c:pt idx="116">
                  <c:v>2.8431372549019551</c:v>
                </c:pt>
                <c:pt idx="117">
                  <c:v>2.8676470588235237</c:v>
                </c:pt>
                <c:pt idx="118">
                  <c:v>2.8921568627450922</c:v>
                </c:pt>
                <c:pt idx="119">
                  <c:v>2.9166666666666607</c:v>
                </c:pt>
                <c:pt idx="120">
                  <c:v>2.9411764705882293</c:v>
                </c:pt>
                <c:pt idx="121">
                  <c:v>2.9656862745097978</c:v>
                </c:pt>
                <c:pt idx="122">
                  <c:v>2.9901960784313664</c:v>
                </c:pt>
                <c:pt idx="123">
                  <c:v>3.0147058823529349</c:v>
                </c:pt>
                <c:pt idx="124">
                  <c:v>3.0392156862745034</c:v>
                </c:pt>
                <c:pt idx="125">
                  <c:v>3.063725490196072</c:v>
                </c:pt>
                <c:pt idx="126">
                  <c:v>3.0882352941176405</c:v>
                </c:pt>
                <c:pt idx="127">
                  <c:v>3.1127450980392091</c:v>
                </c:pt>
                <c:pt idx="128">
                  <c:v>3.1372549019607776</c:v>
                </c:pt>
                <c:pt idx="129">
                  <c:v>3.1617647058823461</c:v>
                </c:pt>
                <c:pt idx="130">
                  <c:v>3.1862745098039147</c:v>
                </c:pt>
                <c:pt idx="131">
                  <c:v>3.2107843137254832</c:v>
                </c:pt>
                <c:pt idx="132">
                  <c:v>3.2352941176470518</c:v>
                </c:pt>
                <c:pt idx="133">
                  <c:v>3.2598039215686203</c:v>
                </c:pt>
                <c:pt idx="134">
                  <c:v>3.2843137254901889</c:v>
                </c:pt>
                <c:pt idx="135">
                  <c:v>3.3088235294117574</c:v>
                </c:pt>
                <c:pt idx="136">
                  <c:v>3.3333333333333259</c:v>
                </c:pt>
                <c:pt idx="137">
                  <c:v>3.3578431372548945</c:v>
                </c:pt>
                <c:pt idx="138">
                  <c:v>3.382352941176463</c:v>
                </c:pt>
                <c:pt idx="139">
                  <c:v>3.4068627450980316</c:v>
                </c:pt>
                <c:pt idx="140">
                  <c:v>3.4313725490196001</c:v>
                </c:pt>
                <c:pt idx="141">
                  <c:v>3.4558823529411686</c:v>
                </c:pt>
                <c:pt idx="142">
                  <c:v>3.4803921568627372</c:v>
                </c:pt>
                <c:pt idx="143">
                  <c:v>3.5049019607843057</c:v>
                </c:pt>
                <c:pt idx="144">
                  <c:v>3.5294117647058743</c:v>
                </c:pt>
                <c:pt idx="145">
                  <c:v>3.5539215686274428</c:v>
                </c:pt>
                <c:pt idx="146">
                  <c:v>3.5784313725490113</c:v>
                </c:pt>
                <c:pt idx="147">
                  <c:v>3.6029411764705799</c:v>
                </c:pt>
                <c:pt idx="148">
                  <c:v>3.6274509803921484</c:v>
                </c:pt>
                <c:pt idx="149">
                  <c:v>3.651960784313717</c:v>
                </c:pt>
                <c:pt idx="150">
                  <c:v>3.6764705882352855</c:v>
                </c:pt>
                <c:pt idx="151">
                  <c:v>3.700980392156854</c:v>
                </c:pt>
                <c:pt idx="152">
                  <c:v>3.7254901960784226</c:v>
                </c:pt>
                <c:pt idx="153">
                  <c:v>3.7499999999999911</c:v>
                </c:pt>
                <c:pt idx="154">
                  <c:v>3.7745098039215597</c:v>
                </c:pt>
                <c:pt idx="155">
                  <c:v>3.7990196078431282</c:v>
                </c:pt>
                <c:pt idx="156">
                  <c:v>3.8235294117646967</c:v>
                </c:pt>
                <c:pt idx="157">
                  <c:v>3.8480392156862653</c:v>
                </c:pt>
                <c:pt idx="158">
                  <c:v>3.8725490196078338</c:v>
                </c:pt>
                <c:pt idx="159">
                  <c:v>3.8970588235294024</c:v>
                </c:pt>
                <c:pt idx="160">
                  <c:v>3.9215686274509709</c:v>
                </c:pt>
                <c:pt idx="161">
                  <c:v>3.9460784313725394</c:v>
                </c:pt>
                <c:pt idx="162">
                  <c:v>3.970588235294108</c:v>
                </c:pt>
                <c:pt idx="163">
                  <c:v>3.9950980392156765</c:v>
                </c:pt>
                <c:pt idx="164">
                  <c:v>4.0196078431372451</c:v>
                </c:pt>
                <c:pt idx="165">
                  <c:v>4.0441176470588136</c:v>
                </c:pt>
                <c:pt idx="166">
                  <c:v>4.0686274509803821</c:v>
                </c:pt>
                <c:pt idx="167">
                  <c:v>4.0931372549019507</c:v>
                </c:pt>
                <c:pt idx="168">
                  <c:v>4.1176470588235192</c:v>
                </c:pt>
                <c:pt idx="169">
                  <c:v>4.1421568627450878</c:v>
                </c:pt>
                <c:pt idx="170">
                  <c:v>4.1666666666666563</c:v>
                </c:pt>
                <c:pt idx="171">
                  <c:v>4.1911764705882248</c:v>
                </c:pt>
                <c:pt idx="172">
                  <c:v>4.2156862745097934</c:v>
                </c:pt>
                <c:pt idx="173">
                  <c:v>4.2401960784313619</c:v>
                </c:pt>
                <c:pt idx="174">
                  <c:v>4.2647058823529305</c:v>
                </c:pt>
                <c:pt idx="175">
                  <c:v>4.289215686274499</c:v>
                </c:pt>
                <c:pt idx="176">
                  <c:v>4.3137254901960675</c:v>
                </c:pt>
                <c:pt idx="177">
                  <c:v>4.3382352941176361</c:v>
                </c:pt>
                <c:pt idx="178">
                  <c:v>4.3627450980392046</c:v>
                </c:pt>
                <c:pt idx="179">
                  <c:v>4.3872549019607732</c:v>
                </c:pt>
                <c:pt idx="180">
                  <c:v>4.4117647058823417</c:v>
                </c:pt>
                <c:pt idx="181">
                  <c:v>4.4362745098039102</c:v>
                </c:pt>
                <c:pt idx="182">
                  <c:v>4.4607843137254788</c:v>
                </c:pt>
                <c:pt idx="183">
                  <c:v>4.4852941176470473</c:v>
                </c:pt>
                <c:pt idx="184">
                  <c:v>4.5098039215686159</c:v>
                </c:pt>
                <c:pt idx="185">
                  <c:v>4.5343137254901844</c:v>
                </c:pt>
                <c:pt idx="186">
                  <c:v>4.558823529411753</c:v>
                </c:pt>
                <c:pt idx="187">
                  <c:v>4.5833333333333215</c:v>
                </c:pt>
                <c:pt idx="188">
                  <c:v>4.60784313725489</c:v>
                </c:pt>
                <c:pt idx="189">
                  <c:v>4.6323529411764586</c:v>
                </c:pt>
                <c:pt idx="190">
                  <c:v>4.6568627450980271</c:v>
                </c:pt>
                <c:pt idx="191">
                  <c:v>4.6813725490195957</c:v>
                </c:pt>
                <c:pt idx="192">
                  <c:v>4.7058823529411642</c:v>
                </c:pt>
                <c:pt idx="193">
                  <c:v>4.7303921568627327</c:v>
                </c:pt>
                <c:pt idx="194">
                  <c:v>4.7549019607843013</c:v>
                </c:pt>
                <c:pt idx="195">
                  <c:v>4.7794117647058698</c:v>
                </c:pt>
                <c:pt idx="196">
                  <c:v>4.8039215686274384</c:v>
                </c:pt>
                <c:pt idx="197">
                  <c:v>4.8284313725490069</c:v>
                </c:pt>
                <c:pt idx="198">
                  <c:v>4.8529411764705754</c:v>
                </c:pt>
                <c:pt idx="199">
                  <c:v>4.877450980392144</c:v>
                </c:pt>
                <c:pt idx="200">
                  <c:v>4.9019607843137125</c:v>
                </c:pt>
                <c:pt idx="201">
                  <c:v>4.9264705882352811</c:v>
                </c:pt>
                <c:pt idx="202">
                  <c:v>4.9509803921568496</c:v>
                </c:pt>
                <c:pt idx="203">
                  <c:v>4.9754901960784181</c:v>
                </c:pt>
                <c:pt idx="204">
                  <c:v>4.9999999999999867</c:v>
                </c:pt>
                <c:pt idx="205">
                  <c:v>5.0245098039215552</c:v>
                </c:pt>
                <c:pt idx="206">
                  <c:v>5.0490196078431238</c:v>
                </c:pt>
                <c:pt idx="207">
                  <c:v>5.0735294117646923</c:v>
                </c:pt>
                <c:pt idx="208">
                  <c:v>5.0980392156862608</c:v>
                </c:pt>
                <c:pt idx="209">
                  <c:v>5.1225490196078294</c:v>
                </c:pt>
                <c:pt idx="210">
                  <c:v>5.1470588235293979</c:v>
                </c:pt>
                <c:pt idx="211">
                  <c:v>5.1715686274509665</c:v>
                </c:pt>
                <c:pt idx="212">
                  <c:v>5.196078431372535</c:v>
                </c:pt>
                <c:pt idx="213">
                  <c:v>5.2205882352941035</c:v>
                </c:pt>
                <c:pt idx="214">
                  <c:v>5.2450980392156721</c:v>
                </c:pt>
                <c:pt idx="215">
                  <c:v>5.2696078431372406</c:v>
                </c:pt>
                <c:pt idx="216">
                  <c:v>5.2941176470588092</c:v>
                </c:pt>
                <c:pt idx="217">
                  <c:v>5.3186274509803777</c:v>
                </c:pt>
                <c:pt idx="218">
                  <c:v>5.3431372549019462</c:v>
                </c:pt>
                <c:pt idx="219">
                  <c:v>5.3676470588235148</c:v>
                </c:pt>
                <c:pt idx="220">
                  <c:v>5.3921568627450833</c:v>
                </c:pt>
                <c:pt idx="221">
                  <c:v>5.4166666666666519</c:v>
                </c:pt>
                <c:pt idx="222">
                  <c:v>5.4411764705882204</c:v>
                </c:pt>
                <c:pt idx="223">
                  <c:v>5.4656862745097889</c:v>
                </c:pt>
                <c:pt idx="224">
                  <c:v>5.4901960784313575</c:v>
                </c:pt>
                <c:pt idx="225">
                  <c:v>5.514705882352926</c:v>
                </c:pt>
                <c:pt idx="226">
                  <c:v>5.5392156862744946</c:v>
                </c:pt>
                <c:pt idx="227">
                  <c:v>5.5637254901960631</c:v>
                </c:pt>
                <c:pt idx="228">
                  <c:v>5.5882352941176316</c:v>
                </c:pt>
                <c:pt idx="229">
                  <c:v>5.6127450980392002</c:v>
                </c:pt>
                <c:pt idx="230">
                  <c:v>5.6372549019607687</c:v>
                </c:pt>
                <c:pt idx="231">
                  <c:v>5.6617647058823373</c:v>
                </c:pt>
                <c:pt idx="232">
                  <c:v>5.6862745098039058</c:v>
                </c:pt>
                <c:pt idx="233">
                  <c:v>5.7107843137254743</c:v>
                </c:pt>
                <c:pt idx="234">
                  <c:v>5.7352941176470429</c:v>
                </c:pt>
                <c:pt idx="235">
                  <c:v>5.7598039215686114</c:v>
                </c:pt>
                <c:pt idx="236">
                  <c:v>5.78431372549018</c:v>
                </c:pt>
                <c:pt idx="237">
                  <c:v>5.8088235294117485</c:v>
                </c:pt>
                <c:pt idx="238">
                  <c:v>5.8333333333333171</c:v>
                </c:pt>
                <c:pt idx="239">
                  <c:v>5.8578431372548856</c:v>
                </c:pt>
                <c:pt idx="240">
                  <c:v>5.8823529411764541</c:v>
                </c:pt>
                <c:pt idx="241">
                  <c:v>5.9068627450980227</c:v>
                </c:pt>
                <c:pt idx="242">
                  <c:v>5.9313725490195912</c:v>
                </c:pt>
                <c:pt idx="243">
                  <c:v>5.9558823529411598</c:v>
                </c:pt>
                <c:pt idx="244">
                  <c:v>5.9803921568627283</c:v>
                </c:pt>
                <c:pt idx="245">
                  <c:v>6.0049019607842968</c:v>
                </c:pt>
                <c:pt idx="246">
                  <c:v>6.0294117647058654</c:v>
                </c:pt>
                <c:pt idx="247">
                  <c:v>6.0539215686274339</c:v>
                </c:pt>
                <c:pt idx="248">
                  <c:v>6.0784313725490025</c:v>
                </c:pt>
                <c:pt idx="249">
                  <c:v>6.102941176470571</c:v>
                </c:pt>
                <c:pt idx="250">
                  <c:v>6.1274509803921395</c:v>
                </c:pt>
                <c:pt idx="251">
                  <c:v>6.1519607843137081</c:v>
                </c:pt>
                <c:pt idx="252">
                  <c:v>6.1764705882352766</c:v>
                </c:pt>
                <c:pt idx="253">
                  <c:v>6.2009803921568452</c:v>
                </c:pt>
                <c:pt idx="254">
                  <c:v>6.2254901960784137</c:v>
                </c:pt>
                <c:pt idx="255">
                  <c:v>6.2499999999999822</c:v>
                </c:pt>
              </c:numCache>
            </c:numRef>
          </c:cat>
          <c:val>
            <c:numRef>
              <c:f>Sheet1!$O$25:$JJ$25</c:f>
              <c:numCache>
                <c:formatCode>0.000</c:formatCode>
                <c:ptCount val="256"/>
                <c:pt idx="0">
                  <c:v>0</c:v>
                </c:pt>
                <c:pt idx="1">
                  <c:v>2.4507350030863254E-2</c:v>
                </c:pt>
                <c:pt idx="2">
                  <c:v>4.8999978486373233E-2</c:v>
                </c:pt>
                <c:pt idx="3">
                  <c:v>7.346317263443311E-2</c:v>
                </c:pt>
                <c:pt idx="4">
                  <c:v>9.788223742414677E-2</c:v>
                </c:pt>
                <c:pt idx="5">
                  <c:v>0.12224250431314201</c:v>
                </c:pt>
                <c:pt idx="6">
                  <c:v>0.14652934007897006</c:v>
                </c:pt>
                <c:pt idx="7">
                  <c:v>0.17072815560928828</c:v>
                </c:pt>
                <c:pt idx="8">
                  <c:v>0.1948244146655462</c:v>
                </c:pt>
                <c:pt idx="9">
                  <c:v>0.21880364261490995</c:v>
                </c:pt>
                <c:pt idx="10">
                  <c:v>0.24265143512518014</c:v>
                </c:pt>
                <c:pt idx="11">
                  <c:v>0.2663534668174804</c:v>
                </c:pt>
                <c:pt idx="12">
                  <c:v>0.28989549987151825</c:v>
                </c:pt>
                <c:pt idx="13">
                  <c:v>0.31326339257824981</c:v>
                </c:pt>
                <c:pt idx="14">
                  <c:v>0.33644310783481007</c:v>
                </c:pt>
                <c:pt idx="15">
                  <c:v>0.35942072157660682</c:v>
                </c:pt>
                <c:pt idx="16">
                  <c:v>0.38218243114151157</c:v>
                </c:pt>
                <c:pt idx="17">
                  <c:v>0.40471456356112484</c:v>
                </c:pt>
                <c:pt idx="18">
                  <c:v>0.42700358377413361</c:v>
                </c:pt>
                <c:pt idx="19">
                  <c:v>0.44903610275682859</c:v>
                </c:pt>
                <c:pt idx="20">
                  <c:v>0.47079888556589616</c:v>
                </c:pt>
                <c:pt idx="21">
                  <c:v>0.49227885928865422</c:v>
                </c:pt>
                <c:pt idx="22">
                  <c:v>0.51346312089595669</c:v>
                </c:pt>
                <c:pt idx="23">
                  <c:v>0.53433894499304779</c:v>
                </c:pt>
                <c:pt idx="24">
                  <c:v>0.55489379146371276</c:v>
                </c:pt>
                <c:pt idx="25">
                  <c:v>0.57511531300313035</c:v>
                </c:pt>
                <c:pt idx="26">
                  <c:v>0.59499136253490392</c:v>
                </c:pt>
                <c:pt idx="27">
                  <c:v>0.61451000050781579</c:v>
                </c:pt>
                <c:pt idx="28">
                  <c:v>0.63365950206791988</c:v>
                </c:pt>
                <c:pt idx="29">
                  <c:v>0.65242836410166727</c:v>
                </c:pt>
                <c:pt idx="30">
                  <c:v>0.67080531214583039</c:v>
                </c:pt>
                <c:pt idx="31">
                  <c:v>0.68877930716007829</c:v>
                </c:pt>
                <c:pt idx="32">
                  <c:v>0.7063395521581326</c:v>
                </c:pt>
                <c:pt idx="33">
                  <c:v>0.7234754986935219</c:v>
                </c:pt>
                <c:pt idx="34">
                  <c:v>0.74017685319603743</c:v>
                </c:pt>
                <c:pt idx="35">
                  <c:v>0.75643358315508535</c:v>
                </c:pt>
                <c:pt idx="36">
                  <c:v>0.77223592314622014</c:v>
                </c:pt>
                <c:pt idx="37">
                  <c:v>0.78757438069723862</c:v>
                </c:pt>
                <c:pt idx="38">
                  <c:v>0.80243974199031254</c:v>
                </c:pt>
                <c:pt idx="39">
                  <c:v>0.81682307739673243</c:v>
                </c:pt>
                <c:pt idx="40">
                  <c:v>0.8307157468409393</c:v>
                </c:pt>
                <c:pt idx="41">
                  <c:v>0.84410940499062148</c:v>
                </c:pt>
                <c:pt idx="42">
                  <c:v>0.8569960062697598</c:v>
                </c:pt>
                <c:pt idx="43">
                  <c:v>0.86936780969160787</c:v>
                </c:pt>
                <c:pt idx="44">
                  <c:v>0.88121738350870604</c:v>
                </c:pt>
                <c:pt idx="45">
                  <c:v>0.89253760967713569</c:v>
                </c:pt>
                <c:pt idx="46">
                  <c:v>0.90332168813233071</c:v>
                </c:pt>
                <c:pt idx="47">
                  <c:v>0.91356314087387913</c:v>
                </c:pt>
                <c:pt idx="48">
                  <c:v>0.9232558158568609</c:v>
                </c:pt>
                <c:pt idx="49">
                  <c:v>0.93239389068738376</c:v>
                </c:pt>
                <c:pt idx="50">
                  <c:v>0.94097187612009747</c:v>
                </c:pt>
                <c:pt idx="51">
                  <c:v>0.94898461935558609</c:v>
                </c:pt>
                <c:pt idx="52">
                  <c:v>0.9564273071356566</c:v>
                </c:pt>
                <c:pt idx="53">
                  <c:v>0.96329546863466475</c:v>
                </c:pt>
                <c:pt idx="54">
                  <c:v>0.96958497814514255</c:v>
                </c:pt>
                <c:pt idx="55">
                  <c:v>0.97529205755611204</c:v>
                </c:pt>
                <c:pt idx="56">
                  <c:v>0.98041327862259797</c:v>
                </c:pt>
                <c:pt idx="57">
                  <c:v>0.98494556502497654</c:v>
                </c:pt>
                <c:pt idx="58">
                  <c:v>0.98888619421692137</c:v>
                </c:pt>
                <c:pt idx="59">
                  <c:v>0.99223279906083839</c:v>
                </c:pt>
                <c:pt idx="60">
                  <c:v>0.99498336924980635</c:v>
                </c:pt>
                <c:pt idx="61">
                  <c:v>0.99713625251516924</c:v>
                </c:pt>
                <c:pt idx="62">
                  <c:v>0.99869015561905428</c:v>
                </c:pt>
                <c:pt idx="63">
                  <c:v>0.99964414513122091</c:v>
                </c:pt>
                <c:pt idx="64">
                  <c:v>0.99999764798977264</c:v>
                </c:pt>
                <c:pt idx="65">
                  <c:v>0.99975045184539513</c:v>
                </c:pt>
                <c:pt idx="66">
                  <c:v>0.99890270518891533</c:v>
                </c:pt>
                <c:pt idx="67">
                  <c:v>0.99745491726210211</c:v>
                </c:pt>
                <c:pt idx="68">
                  <c:v>0.99540795775176516</c:v>
                </c:pt>
                <c:pt idx="69">
                  <c:v>0.9927630562673333</c:v>
                </c:pt>
                <c:pt idx="70">
                  <c:v>0.98952180160222813</c:v>
                </c:pt>
                <c:pt idx="71">
                  <c:v>0.98568614077947447</c:v>
                </c:pt>
                <c:pt idx="72">
                  <c:v>0.98125837788212333</c:v>
                </c:pt>
                <c:pt idx="73">
                  <c:v>0.97624117266918831</c:v>
                </c:pt>
                <c:pt idx="74">
                  <c:v>0.97063753897792682</c:v>
                </c:pt>
                <c:pt idx="75">
                  <c:v>0.96445084291342698</c:v>
                </c:pt>
                <c:pt idx="76">
                  <c:v>0.95768480082658713</c:v>
                </c:pt>
                <c:pt idx="77">
                  <c:v>0.95034347708170208</c:v>
                </c:pt>
                <c:pt idx="78">
                  <c:v>0.94243128161499767</c:v>
                </c:pt>
                <c:pt idx="79">
                  <c:v>0.93395296728558064</c:v>
                </c:pt>
                <c:pt idx="80">
                  <c:v>0.92491362702039381</c:v>
                </c:pt>
                <c:pt idx="81">
                  <c:v>0.91531869075489269</c:v>
                </c:pt>
                <c:pt idx="82">
                  <c:v>0.90517392217128145</c:v>
                </c:pt>
                <c:pt idx="83">
                  <c:v>0.89448541523626646</c:v>
                </c:pt>
                <c:pt idx="84">
                  <c:v>0.88325959054040748</c:v>
                </c:pt>
                <c:pt idx="85">
                  <c:v>0.87150319144126687</c:v>
                </c:pt>
                <c:pt idx="86">
                  <c:v>0.85922328001267168</c:v>
                </c:pt>
                <c:pt idx="87">
                  <c:v>0.84642723280252274</c:v>
                </c:pt>
                <c:pt idx="88">
                  <c:v>0.83312273640169954</c:v>
                </c:pt>
                <c:pt idx="89">
                  <c:v>0.81931778282672185</c:v>
                </c:pt>
                <c:pt idx="90">
                  <c:v>0.80502066471894218</c:v>
                </c:pt>
                <c:pt idx="91">
                  <c:v>0.79023997036315208</c:v>
                </c:pt>
                <c:pt idx="92">
                  <c:v>0.77498457852859692</c:v>
                </c:pt>
                <c:pt idx="93">
                  <c:v>0.75926365313549438</c:v>
                </c:pt>
                <c:pt idx="94">
                  <c:v>0.74308663775026484</c:v>
                </c:pt>
                <c:pt idx="95">
                  <c:v>0.72646324991277611</c:v>
                </c:pt>
                <c:pt idx="96">
                  <c:v>0.70940347529901404</c:v>
                </c:pt>
                <c:pt idx="97">
                  <c:v>0.69191756172268215</c:v>
                </c:pt>
                <c:pt idx="98">
                  <c:v>0.67401601297933611</c:v>
                </c:pt>
                <c:pt idx="99">
                  <c:v>0.65570958253674927</c:v>
                </c:pt>
                <c:pt idx="100">
                  <c:v>0.63700926707530003</c:v>
                </c:pt>
                <c:pt idx="101">
                  <c:v>0.61792629988226122</c:v>
                </c:pt>
                <c:pt idx="102">
                  <c:v>0.5984721441039601</c:v>
                </c:pt>
                <c:pt idx="103">
                  <c:v>0.57865848585986135</c:v>
                </c:pt>
                <c:pt idx="104">
                  <c:v>0.55849722722271045</c:v>
                </c:pt>
                <c:pt idx="105">
                  <c:v>0.53800047906895354</c:v>
                </c:pt>
                <c:pt idx="106">
                  <c:v>0.51718055380372852</c:v>
                </c:pt>
                <c:pt idx="107">
                  <c:v>0.496049957964799</c:v>
                </c:pt>
                <c:pt idx="108">
                  <c:v>0.47462138470987103</c:v>
                </c:pt>
                <c:pt idx="109">
                  <c:v>0.45290770619180853</c:v>
                </c:pt>
                <c:pt idx="110">
                  <c:v>0.43092196582632547</c:v>
                </c:pt>
                <c:pt idx="111">
                  <c:v>0.40867737045680064</c:v>
                </c:pt>
                <c:pt idx="112">
                  <c:v>0.38618728242092143</c:v>
                </c:pt>
                <c:pt idx="113">
                  <c:v>0.36346521152392203</c:v>
                </c:pt>
                <c:pt idx="114">
                  <c:v>0.34052480692323772</c:v>
                </c:pt>
                <c:pt idx="115">
                  <c:v>0.31737984892945031</c:v>
                </c:pt>
                <c:pt idx="116">
                  <c:v>0.29404424072844992</c:v>
                </c:pt>
                <c:pt idx="117">
                  <c:v>0.2705320000297855</c:v>
                </c:pt>
                <c:pt idx="118">
                  <c:v>0.24685725064622066</c:v>
                </c:pt>
                <c:pt idx="119">
                  <c:v>0.2230342140095537</c:v>
                </c:pt>
                <c:pt idx="120">
                  <c:v>0.19907720062779743</c:v>
                </c:pt>
                <c:pt idx="121">
                  <c:v>0.17500060148885122</c:v>
                </c:pt>
                <c:pt idx="122">
                  <c:v>0.15081887941582842</c:v>
                </c:pt>
                <c:pt idx="123">
                  <c:v>0.12654656037923268</c:v>
                </c:pt>
                <c:pt idx="124">
                  <c:v>0.10219822477120126</c:v>
                </c:pt>
                <c:pt idx="125">
                  <c:v>7.778849864705753E-2</c:v>
                </c:pt>
                <c:pt idx="126">
                  <c:v>5.3332044939433422E-2</c:v>
                </c:pt>
                <c:pt idx="127">
                  <c:v>2.8843554650239654E-2</c:v>
                </c:pt>
                <c:pt idx="128">
                  <c:v>4.3377380257748344E-3</c:v>
                </c:pt>
                <c:pt idx="129">
                  <c:v>-2.0170684279725622E-2</c:v>
                </c:pt>
                <c:pt idx="130">
                  <c:v>-4.4666990046792629E-2</c:v>
                </c:pt>
                <c:pt idx="131">
                  <c:v>-6.9136464334366765E-2</c:v>
                </c:pt>
                <c:pt idx="132">
                  <c:v>-9.3564408319069509E-2</c:v>
                </c:pt>
                <c:pt idx="133">
                  <c:v>-0.11793614812479253</c:v>
                </c:pt>
                <c:pt idx="134">
                  <c:v>-0.14223704363730119</c:v>
                </c:pt>
                <c:pt idx="135">
                  <c:v>-0.16645249729855724</c:v>
                </c:pt>
                <c:pt idx="136">
                  <c:v>-0.19056796287547798</c:v>
                </c:pt>
                <c:pt idx="137">
                  <c:v>-0.21456895419786456</c:v>
                </c:pt>
                <c:pt idx="138">
                  <c:v>-0.23844105386025044</c:v>
                </c:pt>
                <c:pt idx="139">
                  <c:v>-0.26216992188244281</c:v>
                </c:pt>
                <c:pt idx="140">
                  <c:v>-0.28574130432355477</c:v>
                </c:pt>
                <c:pt idx="141">
                  <c:v>-0.3091410418443532</c:v>
                </c:pt>
                <c:pt idx="142">
                  <c:v>-0.33235507821278032</c:v>
                </c:pt>
                <c:pt idx="143">
                  <c:v>-0.35536946874753755</c:v>
                </c:pt>
                <c:pt idx="144">
                  <c:v>-0.37817038869466163</c:v>
                </c:pt>
                <c:pt idx="145">
                  <c:v>-0.40074414153206023</c:v>
                </c:pt>
                <c:pt idx="146">
                  <c:v>-0.42307716719701799</c:v>
                </c:pt>
                <c:pt idx="147">
                  <c:v>-0.44515605023173238</c:v>
                </c:pt>
                <c:pt idx="148">
                  <c:v>-0.46696752784198448</c:v>
                </c:pt>
                <c:pt idx="149">
                  <c:v>-0.48849849786410482</c:v>
                </c:pt>
                <c:pt idx="150">
                  <c:v>-0.50973602663544904</c:v>
                </c:pt>
                <c:pt idx="151">
                  <c:v>-0.53066735676365395</c:v>
                </c:pt>
                <c:pt idx="152">
                  <c:v>-0.55127991479000871</c:v>
                </c:pt>
                <c:pt idx="153">
                  <c:v>-0.57156131874233651</c:v>
                </c:pt>
                <c:pt idx="154">
                  <c:v>-0.59149938557285042</c:v>
                </c:pt>
                <c:pt idx="155">
                  <c:v>-0.6110821384765156</c:v>
                </c:pt>
                <c:pt idx="156">
                  <c:v>-0.63029781408552066</c:v>
                </c:pt>
                <c:pt idx="157">
                  <c:v>-0.64913486953553756</c:v>
                </c:pt>
                <c:pt idx="158">
                  <c:v>-0.66758198939952562</c:v>
                </c:pt>
                <c:pt idx="159">
                  <c:v>-0.68562809248491219</c:v>
                </c:pt>
                <c:pt idx="160">
                  <c:v>-0.70326233849007092</c:v>
                </c:pt>
                <c:pt idx="161">
                  <c:v>-0.72047413451609443</c:v>
                </c:pt>
                <c:pt idx="162">
                  <c:v>-0.73725314142995346</c:v>
                </c:pt>
                <c:pt idx="163">
                  <c:v>-0.75358928007521853</c:v>
                </c:pt>
                <c:pt idx="164">
                  <c:v>-0.76947273732661292</c:v>
                </c:pt>
                <c:pt idx="165">
                  <c:v>-0.78489397198476196</c:v>
                </c:pt>
                <c:pt idx="166">
                  <c:v>-0.79984372050759445</c:v>
                </c:pt>
                <c:pt idx="167">
                  <c:v>-0.81431300257495687</c:v>
                </c:pt>
                <c:pt idx="168">
                  <c:v>-0.82829312648309539</c:v>
                </c:pt>
                <c:pt idx="169">
                  <c:v>-0.84177569436576549</c:v>
                </c:pt>
                <c:pt idx="170">
                  <c:v>-0.85475260723883439</c:v>
                </c:pt>
                <c:pt idx="171">
                  <c:v>-0.86721606986534372</c:v>
                </c:pt>
                <c:pt idx="172">
                  <c:v>-0.87915859543811148</c:v>
                </c:pt>
                <c:pt idx="173">
                  <c:v>-0.8905730100770608</c:v>
                </c:pt>
                <c:pt idx="174">
                  <c:v>-0.90145245713857192</c:v>
                </c:pt>
                <c:pt idx="175">
                  <c:v>-0.91179040133427169</c:v>
                </c:pt>
                <c:pt idx="176">
                  <c:v>-0.92158063265678336</c:v>
                </c:pt>
                <c:pt idx="177">
                  <c:v>-0.93081727011008086</c:v>
                </c:pt>
                <c:pt idx="178">
                  <c:v>-0.93949476524220565</c:v>
                </c:pt>
                <c:pt idx="179">
                  <c:v>-0.94760790547822371</c:v>
                </c:pt>
                <c:pt idx="180">
                  <c:v>-0.95515181725142217</c:v>
                </c:pt>
                <c:pt idx="181">
                  <c:v>-0.96212196893086221</c:v>
                </c:pt>
                <c:pt idx="182">
                  <c:v>-0.96851417354353175</c:v>
                </c:pt>
                <c:pt idx="183">
                  <c:v>-0.97432459128946247</c:v>
                </c:pt>
                <c:pt idx="184">
                  <c:v>-0.9795497318482983</c:v>
                </c:pt>
                <c:pt idx="185">
                  <c:v>-0.98418645647593306</c:v>
                </c:pt>
                <c:pt idx="186">
                  <c:v>-0.98823197988995515</c:v>
                </c:pt>
                <c:pt idx="187">
                  <c:v>-0.99168387194276764</c:v>
                </c:pt>
                <c:pt idx="188">
                  <c:v>-0.99454005908137921</c:v>
                </c:pt>
                <c:pt idx="189">
                  <c:v>-0.99679882559298805</c:v>
                </c:pt>
                <c:pt idx="190">
                  <c:v>-0.99845881463561159</c:v>
                </c:pt>
                <c:pt idx="191">
                  <c:v>-0.99951902905314172</c:v>
                </c:pt>
                <c:pt idx="192">
                  <c:v>-0.9999788319743369</c:v>
                </c:pt>
                <c:pt idx="193">
                  <c:v>-0.99983794719539132</c:v>
                </c:pt>
                <c:pt idx="194">
                  <c:v>-0.99909645934585012</c:v>
                </c:pt>
                <c:pt idx="195">
                  <c:v>-0.99775481383777309</c:v>
                </c:pt>
                <c:pt idx="196">
                  <c:v>-0.99581381659817447</c:v>
                </c:pt>
                <c:pt idx="197">
                  <c:v>-0.9932746335849032</c:v>
                </c:pt>
                <c:pt idx="198">
                  <c:v>-0.99013879008625127</c:v>
                </c:pt>
                <c:pt idx="199">
                  <c:v>-0.98640816980471191</c:v>
                </c:pt>
                <c:pt idx="200">
                  <c:v>-0.98208501372543955</c:v>
                </c:pt>
                <c:pt idx="201">
                  <c:v>-0.97717191877008835</c:v>
                </c:pt>
                <c:pt idx="202">
                  <c:v>-0.97167183623684095</c:v>
                </c:pt>
                <c:pt idx="203">
                  <c:v>-0.96558807002756175</c:v>
                </c:pt>
                <c:pt idx="204">
                  <c:v>-0.95892427466314223</c:v>
                </c:pt>
                <c:pt idx="205">
                  <c:v>-0.95168445308822858</c:v>
                </c:pt>
                <c:pt idx="206">
                  <c:v>-0.94387295426665085</c:v>
                </c:pt>
                <c:pt idx="207">
                  <c:v>-0.93549447056899926</c:v>
                </c:pt>
                <c:pt idx="208">
                  <c:v>-0.92655403495391453</c:v>
                </c:pt>
                <c:pt idx="209">
                  <c:v>-0.91705701794478789</c:v>
                </c:pt>
                <c:pt idx="210">
                  <c:v>-0.90700912440368542</c:v>
                </c:pt>
                <c:pt idx="211">
                  <c:v>-0.89641639010443497</c:v>
                </c:pt>
                <c:pt idx="212">
                  <c:v>-0.88528517810693452</c:v>
                </c:pt>
                <c:pt idx="213">
                  <c:v>-0.87362217493485894</c:v>
                </c:pt>
                <c:pt idx="214">
                  <c:v>-0.86143438655906313</c:v>
                </c:pt>
                <c:pt idx="215">
                  <c:v>-0.84872913418909179</c:v>
                </c:pt>
                <c:pt idx="216">
                  <c:v>-0.83551404987532629</c:v>
                </c:pt>
                <c:pt idx="217">
                  <c:v>-0.82179707192440843</c:v>
                </c:pt>
                <c:pt idx="218">
                  <c:v>-0.80758644013069658</c:v>
                </c:pt>
                <c:pt idx="219">
                  <c:v>-0.79289069082661789</c:v>
                </c:pt>
                <c:pt idx="220">
                  <c:v>-0.77771865175488941</c:v>
                </c:pt>
                <c:pt idx="221">
                  <c:v>-0.7620794367656899</c:v>
                </c:pt>
                <c:pt idx="222">
                  <c:v>-0.74598244034196581</c:v>
                </c:pt>
                <c:pt idx="223">
                  <c:v>-0.72943733195616178</c:v>
                </c:pt>
                <c:pt idx="224">
                  <c:v>-0.71245405026176434</c:v>
                </c:pt>
                <c:pt idx="225">
                  <c:v>-0.69504279712314865</c:v>
                </c:pt>
                <c:pt idx="226">
                  <c:v>-0.67721403148731429</c:v>
                </c:pt>
                <c:pt idx="227">
                  <c:v>-0.65897846310119168</c:v>
                </c:pt>
                <c:pt idx="228">
                  <c:v>-0.64034704607829251</c:v>
                </c:pt>
                <c:pt idx="229">
                  <c:v>-0.62133097231856882</c:v>
                </c:pt>
                <c:pt idx="230">
                  <c:v>-0.60194166478543476</c:v>
                </c:pt>
                <c:pt idx="231">
                  <c:v>-0.58219077064398717</c:v>
                </c:pt>
                <c:pt idx="232">
                  <c:v>-0.562090154264549</c:v>
                </c:pt>
                <c:pt idx="233">
                  <c:v>-0.54165189009573678</c:v>
                </c:pt>
                <c:pt idx="234">
                  <c:v>-0.52088825541133454</c:v>
                </c:pt>
                <c:pt idx="235">
                  <c:v>-0.49981172293533044</c:v>
                </c:pt>
                <c:pt idx="236">
                  <c:v>-0.47843495334954605</c:v>
                </c:pt>
                <c:pt idx="237">
                  <c:v>-0.45677078768835971</c:v>
                </c:pt>
                <c:pt idx="238">
                  <c:v>-0.43483223962509154</c:v>
                </c:pt>
                <c:pt idx="239">
                  <c:v>-0.41263248765468491</c:v>
                </c:pt>
                <c:pt idx="240">
                  <c:v>-0.39018486717737871</c:v>
                </c:pt>
                <c:pt idx="241">
                  <c:v>-0.36750286248812697</c:v>
                </c:pt>
                <c:pt idx="242">
                  <c:v>-0.34460009867657732</c:v>
                </c:pt>
                <c:pt idx="243">
                  <c:v>-0.32149033344247385</c:v>
                </c:pt>
                <c:pt idx="244">
                  <c:v>-0.29818744883140147</c:v>
                </c:pt>
                <c:pt idx="245">
                  <c:v>-0.27470544289583482</c:v>
                </c:pt>
                <c:pt idx="246">
                  <c:v>-0.25105842128650296</c:v>
                </c:pt>
                <c:pt idx="247">
                  <c:v>-0.22726058877911853</c:v>
                </c:pt>
                <c:pt idx="248">
                  <c:v>-0.2033262407415635</c:v>
                </c:pt>
                <c:pt idx="249">
                  <c:v>-0.17926975454665547</c:v>
                </c:pt>
                <c:pt idx="250">
                  <c:v>-0.15510558093565402</c:v>
                </c:pt>
                <c:pt idx="251">
                  <c:v>-0.13084823533769432</c:v>
                </c:pt>
                <c:pt idx="252">
                  <c:v>-0.10651228915036287</c:v>
                </c:pt>
                <c:pt idx="253">
                  <c:v>-8.211236098665281E-2</c:v>
                </c:pt>
                <c:pt idx="254">
                  <c:v>-5.7663107893557178E-2</c:v>
                </c:pt>
                <c:pt idx="255">
                  <c:v>-3.3179216547574573E-2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AF-4F9C-8AC1-D5300AB8A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449856"/>
        <c:axId val="420458496"/>
      </c:areaChart>
      <c:catAx>
        <c:axId val="420449856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58496"/>
        <c:crosses val="autoZero"/>
        <c:auto val="1"/>
        <c:lblAlgn val="ctr"/>
        <c:lblOffset val="100"/>
        <c:noMultiLvlLbl val="0"/>
      </c:catAx>
      <c:valAx>
        <c:axId val="420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49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138112</xdr:colOff>
      <xdr:row>13</xdr:row>
      <xdr:rowOff>119062</xdr:rowOff>
    </xdr:from>
    <xdr:to>
      <xdr:col>10</xdr:col>
      <xdr:colOff>252412</xdr:colOff>
      <xdr:row>28</xdr:row>
      <xdr:rowOff>109537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F2E0A18-BE58-A6B2-4DAA-4F9C1EC104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309561</xdr:colOff>
      <xdr:row>30</xdr:row>
      <xdr:rowOff>128586</xdr:rowOff>
    </xdr:from>
    <xdr:to>
      <xdr:col>33</xdr:col>
      <xdr:colOff>304799</xdr:colOff>
      <xdr:row>67</xdr:row>
      <xdr:rowOff>78441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2F69998-51AB-5ABC-7044-E71021CAED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61460-0DD3-43ED-B370-809DA877341C}">
  <sheetPr codeName="Sheet1"/>
  <dimension ref="E5:JJ27"/>
  <sheetViews>
    <sheetView tabSelected="1" topLeftCell="H1" zoomScale="85" zoomScaleNormal="85" workbookViewId="0">
      <selection activeCell="O20" sqref="O20"/>
    </sheetView>
  </sheetViews>
  <sheetFormatPr defaultRowHeight="14.25" x14ac:dyDescent="0.2"/>
  <cols>
    <col min="1" max="3" width="9" style="1"/>
    <col min="4" max="4" width="13.5" style="1" bestFit="1" customWidth="1"/>
    <col min="5" max="6" width="9" style="1"/>
    <col min="7" max="7" width="13.5" style="1" bestFit="1" customWidth="1"/>
    <col min="8" max="8" width="14" style="1" bestFit="1" customWidth="1"/>
    <col min="9" max="14" width="9" style="1"/>
    <col min="15" max="15" width="10.375" style="1" bestFit="1" customWidth="1"/>
    <col min="16" max="16" width="9.125" style="1" bestFit="1" customWidth="1"/>
    <col min="17" max="17" width="10.375" style="1" bestFit="1" customWidth="1"/>
    <col min="18" max="18" width="9" style="1"/>
    <col min="19" max="19" width="9.125" style="1" bestFit="1" customWidth="1"/>
    <col min="20" max="20" width="9" style="1"/>
    <col min="21" max="21" width="9.125" style="1" bestFit="1" customWidth="1"/>
    <col min="22" max="22" width="9" style="1"/>
    <col min="23" max="23" width="9.125" style="1" bestFit="1" customWidth="1"/>
    <col min="24" max="24" width="9" style="1"/>
    <col min="25" max="25" width="9.125" style="1" bestFit="1" customWidth="1"/>
    <col min="26" max="16384" width="9" style="1"/>
  </cols>
  <sheetData>
    <row r="5" spans="5:23" ht="15" x14ac:dyDescent="0.2">
      <c r="F5" s="2"/>
      <c r="H5" s="3"/>
    </row>
    <row r="6" spans="5:23" ht="15" x14ac:dyDescent="0.2">
      <c r="H6" s="4"/>
    </row>
    <row r="7" spans="5:23" ht="15" x14ac:dyDescent="0.2">
      <c r="H7" s="4"/>
    </row>
    <row r="8" spans="5:23" ht="15" x14ac:dyDescent="0.2">
      <c r="E8" s="1" t="s">
        <v>5</v>
      </c>
      <c r="F8" s="1">
        <v>1</v>
      </c>
      <c r="H8" s="4" t="s">
        <v>0</v>
      </c>
      <c r="I8" s="1">
        <v>1</v>
      </c>
      <c r="J8" s="1">
        <v>2</v>
      </c>
      <c r="K8" s="1">
        <v>3</v>
      </c>
      <c r="L8" s="1">
        <v>4</v>
      </c>
      <c r="M8" s="1">
        <v>5</v>
      </c>
      <c r="N8" s="1">
        <v>6</v>
      </c>
      <c r="O8" s="1">
        <v>7</v>
      </c>
      <c r="P8" s="1">
        <v>8</v>
      </c>
      <c r="Q8" s="1">
        <v>9</v>
      </c>
      <c r="R8" s="1">
        <v>10</v>
      </c>
      <c r="S8" s="1">
        <v>11</v>
      </c>
      <c r="T8" s="1">
        <v>12</v>
      </c>
      <c r="U8" s="1">
        <v>13</v>
      </c>
      <c r="V8" s="1">
        <v>14</v>
      </c>
      <c r="W8" s="1">
        <v>15</v>
      </c>
    </row>
    <row r="9" spans="5:23" x14ac:dyDescent="0.2">
      <c r="E9" s="1" t="s">
        <v>2</v>
      </c>
      <c r="F9" s="1">
        <v>10</v>
      </c>
      <c r="H9" s="1" t="s">
        <v>4</v>
      </c>
      <c r="I9" s="1" cm="1">
        <f t="array" ref="I9:W9">_xlfn.MAP(I8:W8,Log10Log)</f>
        <v>0</v>
      </c>
      <c r="J9" s="1">
        <v>0.3010299956639812</v>
      </c>
      <c r="K9" s="1">
        <v>0.47712125471966244</v>
      </c>
      <c r="L9" s="1">
        <v>0.6020599913279624</v>
      </c>
      <c r="M9" s="1">
        <v>0.69897000433601886</v>
      </c>
      <c r="N9" s="1">
        <v>0.77815125038364363</v>
      </c>
      <c r="O9" s="1">
        <v>0.84509804001425681</v>
      </c>
      <c r="P9" s="1">
        <v>0.90308998699194354</v>
      </c>
      <c r="Q9" s="1">
        <v>0.95424250943932487</v>
      </c>
      <c r="R9" s="1">
        <v>1</v>
      </c>
      <c r="S9" s="1">
        <v>1.0413926851582251</v>
      </c>
      <c r="T9" s="1">
        <v>1.0791812460476249</v>
      </c>
      <c r="U9" s="1">
        <v>1.1139433523068367</v>
      </c>
      <c r="V9" s="1">
        <v>1.146128035678238</v>
      </c>
      <c r="W9" s="1">
        <v>1.1760912590556813</v>
      </c>
    </row>
    <row r="10" spans="5:23" ht="15" x14ac:dyDescent="0.2">
      <c r="E10" s="1" t="s">
        <v>1</v>
      </c>
      <c r="F10" s="1" cm="1">
        <f t="array" ref="F10">Derivative(Log10Log,F9,F8)</f>
        <v>4.3429448204346244E-2</v>
      </c>
      <c r="H10" s="4" t="s">
        <v>3</v>
      </c>
      <c r="I10" s="1">
        <f>((I8-$F$9)*$F$10)+$F$11</f>
        <v>0.60913496616088381</v>
      </c>
      <c r="J10" s="1">
        <f t="shared" ref="J10:W10" si="0">((J8-$F$9)*$F$10)+$F$11</f>
        <v>0.65256441436523005</v>
      </c>
      <c r="K10" s="1">
        <f t="shared" si="0"/>
        <v>0.69599386256957629</v>
      </c>
      <c r="L10" s="1">
        <f t="shared" si="0"/>
        <v>0.73942331077392254</v>
      </c>
      <c r="M10" s="1">
        <f t="shared" si="0"/>
        <v>0.78285275897826878</v>
      </c>
      <c r="N10" s="1">
        <f t="shared" si="0"/>
        <v>0.82628220718261502</v>
      </c>
      <c r="O10" s="1">
        <f t="shared" si="0"/>
        <v>0.86971165538696127</v>
      </c>
      <c r="P10" s="1">
        <f t="shared" si="0"/>
        <v>0.91314110359130751</v>
      </c>
      <c r="Q10" s="1">
        <f t="shared" si="0"/>
        <v>0.95657055179565376</v>
      </c>
      <c r="R10" s="1">
        <f t="shared" si="0"/>
        <v>1</v>
      </c>
      <c r="S10" s="1">
        <f t="shared" si="0"/>
        <v>1.0434294482043462</v>
      </c>
      <c r="T10" s="1">
        <f t="shared" si="0"/>
        <v>1.0868588964086925</v>
      </c>
      <c r="U10" s="1">
        <f t="shared" si="0"/>
        <v>1.1302883446130387</v>
      </c>
      <c r="V10" s="1">
        <f t="shared" si="0"/>
        <v>1.173717792817385</v>
      </c>
      <c r="W10" s="1">
        <f t="shared" si="0"/>
        <v>1.2171472410217312</v>
      </c>
    </row>
    <row r="11" spans="5:23" ht="15" x14ac:dyDescent="0.2">
      <c r="E11" s="1" t="s">
        <v>6</v>
      </c>
      <c r="F11" s="1" cm="1">
        <f t="array" ref="F11">_xlfn.CHOOSECOLS(_xlfn.ANCHORARRAY(I9),F9)</f>
        <v>1</v>
      </c>
      <c r="H11" s="4"/>
    </row>
    <row r="12" spans="5:23" ht="15" x14ac:dyDescent="0.2">
      <c r="H12" s="4"/>
    </row>
    <row r="13" spans="5:23" ht="15" x14ac:dyDescent="0.2">
      <c r="H13" s="4"/>
    </row>
    <row r="14" spans="5:23" ht="15" x14ac:dyDescent="0.2">
      <c r="H14" s="4"/>
    </row>
    <row r="15" spans="5:23" ht="15" x14ac:dyDescent="0.2">
      <c r="H15" s="4"/>
    </row>
    <row r="16" spans="5:23" ht="15" x14ac:dyDescent="0.2">
      <c r="H16" s="4"/>
    </row>
    <row r="17" spans="8:270" ht="15" x14ac:dyDescent="0.2">
      <c r="H17" s="4"/>
    </row>
    <row r="18" spans="8:270" x14ac:dyDescent="0.2">
      <c r="N18" s="1" t="s">
        <v>8</v>
      </c>
      <c r="O18" s="1">
        <v>0</v>
      </c>
    </row>
    <row r="19" spans="8:270" x14ac:dyDescent="0.2">
      <c r="N19" s="1" t="s">
        <v>7</v>
      </c>
      <c r="O19" s="1">
        <v>6.25</v>
      </c>
    </row>
    <row r="20" spans="8:270" x14ac:dyDescent="0.2">
      <c r="N20" s="1" t="s">
        <v>9</v>
      </c>
      <c r="O20" s="1">
        <v>255</v>
      </c>
    </row>
    <row r="22" spans="8:270" x14ac:dyDescent="0.2">
      <c r="N22" s="1" t="s">
        <v>10</v>
      </c>
      <c r="O22" s="1">
        <f>(O19-O18)/O20</f>
        <v>2.4509803921568627E-2</v>
      </c>
    </row>
    <row r="24" spans="8:270" x14ac:dyDescent="0.2">
      <c r="N24" s="1" t="s">
        <v>11</v>
      </c>
      <c r="O24" s="1" cm="1">
        <f t="array" ref="O24:JJ24">TRANSPOSE(_xlfn.SEQUENCE(O20+1,,O18,O22))</f>
        <v>0</v>
      </c>
      <c r="P24" s="1">
        <v>2.4509803921568627E-2</v>
      </c>
      <c r="Q24" s="1">
        <v>4.9019607843137254E-2</v>
      </c>
      <c r="R24" s="1">
        <v>7.3529411764705885E-2</v>
      </c>
      <c r="S24" s="1">
        <v>9.8039215686274508E-2</v>
      </c>
      <c r="T24" s="1">
        <v>0.12254901960784313</v>
      </c>
      <c r="U24" s="1">
        <v>0.14705882352941177</v>
      </c>
      <c r="V24" s="1">
        <v>0.17156862745098039</v>
      </c>
      <c r="W24" s="1">
        <v>0.19607843137254902</v>
      </c>
      <c r="X24" s="1">
        <v>0.22058823529411764</v>
      </c>
      <c r="Y24" s="1">
        <v>0.24509803921568626</v>
      </c>
      <c r="Z24" s="1">
        <v>0.26960784313725489</v>
      </c>
      <c r="AA24" s="1">
        <v>0.29411764705882354</v>
      </c>
      <c r="AB24" s="1">
        <v>0.31862745098039219</v>
      </c>
      <c r="AC24" s="1">
        <v>0.34313725490196084</v>
      </c>
      <c r="AD24" s="1">
        <v>0.36764705882352949</v>
      </c>
      <c r="AE24" s="1">
        <v>0.39215686274509814</v>
      </c>
      <c r="AF24" s="1">
        <v>0.4166666666666668</v>
      </c>
      <c r="AG24" s="1">
        <v>0.44117647058823545</v>
      </c>
      <c r="AH24" s="1">
        <v>0.4656862745098041</v>
      </c>
      <c r="AI24" s="1">
        <v>0.49019607843137275</v>
      </c>
      <c r="AJ24" s="1">
        <v>0.51470588235294135</v>
      </c>
      <c r="AK24" s="1">
        <v>0.53921568627451</v>
      </c>
      <c r="AL24" s="1">
        <v>0.56372549019607865</v>
      </c>
      <c r="AM24" s="1">
        <v>0.5882352941176473</v>
      </c>
      <c r="AN24" s="1">
        <v>0.61274509803921595</v>
      </c>
      <c r="AO24" s="1">
        <v>0.6372549019607846</v>
      </c>
      <c r="AP24" s="1">
        <v>0.66176470588235325</v>
      </c>
      <c r="AQ24" s="1">
        <v>0.68627450980392191</v>
      </c>
      <c r="AR24" s="1">
        <v>0.71078431372549056</v>
      </c>
      <c r="AS24" s="1">
        <v>0.73529411764705921</v>
      </c>
      <c r="AT24" s="1">
        <v>0.75980392156862786</v>
      </c>
      <c r="AU24" s="1">
        <v>0.78431372549019651</v>
      </c>
      <c r="AV24" s="1">
        <v>0.80882352941176516</v>
      </c>
      <c r="AW24" s="1">
        <v>0.83333333333333381</v>
      </c>
      <c r="AX24" s="1">
        <v>0.85784313725490247</v>
      </c>
      <c r="AY24" s="1">
        <v>0.88235294117647112</v>
      </c>
      <c r="AZ24" s="1">
        <v>0.90686274509803977</v>
      </c>
      <c r="BA24" s="1">
        <v>0.93137254901960842</v>
      </c>
      <c r="BB24" s="1">
        <v>0.95588235294117707</v>
      </c>
      <c r="BC24" s="1">
        <v>0.98039215686274572</v>
      </c>
      <c r="BD24" s="1">
        <v>1.0049019607843144</v>
      </c>
      <c r="BE24" s="1">
        <v>1.0294117647058829</v>
      </c>
      <c r="BF24" s="1">
        <v>1.0539215686274515</v>
      </c>
      <c r="BG24" s="1">
        <v>1.07843137254902</v>
      </c>
      <c r="BH24" s="1">
        <v>1.1029411764705885</v>
      </c>
      <c r="BI24" s="1">
        <v>1.1274509803921571</v>
      </c>
      <c r="BJ24" s="1">
        <v>1.1519607843137256</v>
      </c>
      <c r="BK24" s="1">
        <v>1.1764705882352942</v>
      </c>
      <c r="BL24" s="1">
        <v>1.2009803921568627</v>
      </c>
      <c r="BM24" s="1">
        <v>1.2254901960784312</v>
      </c>
      <c r="BN24" s="1">
        <v>1.2499999999999998</v>
      </c>
      <c r="BO24" s="1">
        <v>1.2745098039215683</v>
      </c>
      <c r="BP24" s="1">
        <v>1.2990196078431369</v>
      </c>
      <c r="BQ24" s="1">
        <v>1.3235294117647054</v>
      </c>
      <c r="BR24" s="1">
        <v>1.3480392156862739</v>
      </c>
      <c r="BS24" s="1">
        <v>1.3725490196078425</v>
      </c>
      <c r="BT24" s="1">
        <v>1.397058823529411</v>
      </c>
      <c r="BU24" s="1">
        <v>1.4215686274509796</v>
      </c>
      <c r="BV24" s="1">
        <v>1.4460784313725481</v>
      </c>
      <c r="BW24" s="1">
        <v>1.4705882352941166</v>
      </c>
      <c r="BX24" s="1">
        <v>1.4950980392156852</v>
      </c>
      <c r="BY24" s="1">
        <v>1.5196078431372537</v>
      </c>
      <c r="BZ24" s="1">
        <v>1.5441176470588223</v>
      </c>
      <c r="CA24" s="1">
        <v>1.5686274509803908</v>
      </c>
      <c r="CB24" s="1">
        <v>1.5931372549019593</v>
      </c>
      <c r="CC24" s="1">
        <v>1.6176470588235279</v>
      </c>
      <c r="CD24" s="1">
        <v>1.6421568627450964</v>
      </c>
      <c r="CE24" s="1">
        <v>1.666666666666665</v>
      </c>
      <c r="CF24" s="1">
        <v>1.6911764705882335</v>
      </c>
      <c r="CG24" s="1">
        <v>1.715686274509802</v>
      </c>
      <c r="CH24" s="1">
        <v>1.7401960784313706</v>
      </c>
      <c r="CI24" s="1">
        <v>1.7647058823529391</v>
      </c>
      <c r="CJ24" s="1">
        <v>1.7892156862745077</v>
      </c>
      <c r="CK24" s="1">
        <v>1.8137254901960762</v>
      </c>
      <c r="CL24" s="1">
        <v>1.8382352941176447</v>
      </c>
      <c r="CM24" s="1">
        <v>1.8627450980392133</v>
      </c>
      <c r="CN24" s="1">
        <v>1.8872549019607818</v>
      </c>
      <c r="CO24" s="1">
        <v>1.9117647058823504</v>
      </c>
      <c r="CP24" s="1">
        <v>1.9362745098039189</v>
      </c>
      <c r="CQ24" s="1">
        <v>1.9607843137254874</v>
      </c>
      <c r="CR24" s="1">
        <v>1.985294117647056</v>
      </c>
      <c r="CS24" s="1">
        <v>2.0098039215686248</v>
      </c>
      <c r="CT24" s="1">
        <v>2.0343137254901933</v>
      </c>
      <c r="CU24" s="1">
        <v>2.0588235294117618</v>
      </c>
      <c r="CV24" s="1">
        <v>2.0833333333333304</v>
      </c>
      <c r="CW24" s="1">
        <v>2.1078431372548989</v>
      </c>
      <c r="CX24" s="1">
        <v>2.1323529411764675</v>
      </c>
      <c r="CY24" s="1">
        <v>2.156862745098036</v>
      </c>
      <c r="CZ24" s="1">
        <v>2.1813725490196045</v>
      </c>
      <c r="DA24" s="1">
        <v>2.2058823529411731</v>
      </c>
      <c r="DB24" s="1">
        <v>2.2303921568627416</v>
      </c>
      <c r="DC24" s="1">
        <v>2.2549019607843102</v>
      </c>
      <c r="DD24" s="1">
        <v>2.2794117647058787</v>
      </c>
      <c r="DE24" s="1">
        <v>2.3039215686274472</v>
      </c>
      <c r="DF24" s="1">
        <v>2.3284313725490158</v>
      </c>
      <c r="DG24" s="1">
        <v>2.3529411764705843</v>
      </c>
      <c r="DH24" s="1">
        <v>2.3774509803921529</v>
      </c>
      <c r="DI24" s="1">
        <v>2.4019607843137214</v>
      </c>
      <c r="DJ24" s="1">
        <v>2.4264705882352899</v>
      </c>
      <c r="DK24" s="1">
        <v>2.4509803921568585</v>
      </c>
      <c r="DL24" s="1">
        <v>2.475490196078427</v>
      </c>
      <c r="DM24" s="1">
        <v>2.4999999999999956</v>
      </c>
      <c r="DN24" s="1">
        <v>2.5245098039215641</v>
      </c>
      <c r="DO24" s="1">
        <v>2.5490196078431326</v>
      </c>
      <c r="DP24" s="1">
        <v>2.5735294117647012</v>
      </c>
      <c r="DQ24" s="1">
        <v>2.5980392156862697</v>
      </c>
      <c r="DR24" s="1">
        <v>2.6225490196078383</v>
      </c>
      <c r="DS24" s="1">
        <v>2.6470588235294068</v>
      </c>
      <c r="DT24" s="1">
        <v>2.6715686274509753</v>
      </c>
      <c r="DU24" s="1">
        <v>2.6960784313725439</v>
      </c>
      <c r="DV24" s="1">
        <v>2.7205882352941124</v>
      </c>
      <c r="DW24" s="1">
        <v>2.745098039215681</v>
      </c>
      <c r="DX24" s="1">
        <v>2.7696078431372495</v>
      </c>
      <c r="DY24" s="1">
        <v>2.794117647058818</v>
      </c>
      <c r="DZ24" s="1">
        <v>2.8186274509803866</v>
      </c>
      <c r="EA24" s="1">
        <v>2.8431372549019551</v>
      </c>
      <c r="EB24" s="1">
        <v>2.8676470588235237</v>
      </c>
      <c r="EC24" s="1">
        <v>2.8921568627450922</v>
      </c>
      <c r="ED24" s="1">
        <v>2.9166666666666607</v>
      </c>
      <c r="EE24" s="1">
        <v>2.9411764705882293</v>
      </c>
      <c r="EF24" s="1">
        <v>2.9656862745097978</v>
      </c>
      <c r="EG24" s="1">
        <v>2.9901960784313664</v>
      </c>
      <c r="EH24" s="1">
        <v>3.0147058823529349</v>
      </c>
      <c r="EI24" s="1">
        <v>3.0392156862745034</v>
      </c>
      <c r="EJ24" s="1">
        <v>3.063725490196072</v>
      </c>
      <c r="EK24" s="1">
        <v>3.0882352941176405</v>
      </c>
      <c r="EL24" s="1">
        <v>3.1127450980392091</v>
      </c>
      <c r="EM24" s="1">
        <v>3.1372549019607776</v>
      </c>
      <c r="EN24" s="1">
        <v>3.1617647058823461</v>
      </c>
      <c r="EO24" s="1">
        <v>3.1862745098039147</v>
      </c>
      <c r="EP24" s="1">
        <v>3.2107843137254832</v>
      </c>
      <c r="EQ24" s="1">
        <v>3.2352941176470518</v>
      </c>
      <c r="ER24" s="1">
        <v>3.2598039215686203</v>
      </c>
      <c r="ES24" s="1">
        <v>3.2843137254901889</v>
      </c>
      <c r="ET24" s="1">
        <v>3.3088235294117574</v>
      </c>
      <c r="EU24" s="1">
        <v>3.3333333333333259</v>
      </c>
      <c r="EV24" s="1">
        <v>3.3578431372548945</v>
      </c>
      <c r="EW24" s="1">
        <v>3.382352941176463</v>
      </c>
      <c r="EX24" s="1">
        <v>3.4068627450980316</v>
      </c>
      <c r="EY24" s="1">
        <v>3.4313725490196001</v>
      </c>
      <c r="EZ24" s="1">
        <v>3.4558823529411686</v>
      </c>
      <c r="FA24" s="1">
        <v>3.4803921568627372</v>
      </c>
      <c r="FB24" s="1">
        <v>3.5049019607843057</v>
      </c>
      <c r="FC24" s="1">
        <v>3.5294117647058743</v>
      </c>
      <c r="FD24" s="1">
        <v>3.5539215686274428</v>
      </c>
      <c r="FE24" s="1">
        <v>3.5784313725490113</v>
      </c>
      <c r="FF24" s="1">
        <v>3.6029411764705799</v>
      </c>
      <c r="FG24" s="1">
        <v>3.6274509803921484</v>
      </c>
      <c r="FH24" s="1">
        <v>3.651960784313717</v>
      </c>
      <c r="FI24" s="1">
        <v>3.6764705882352855</v>
      </c>
      <c r="FJ24" s="1">
        <v>3.700980392156854</v>
      </c>
      <c r="FK24" s="1">
        <v>3.7254901960784226</v>
      </c>
      <c r="FL24" s="1">
        <v>3.7499999999999911</v>
      </c>
      <c r="FM24" s="1">
        <v>3.7745098039215597</v>
      </c>
      <c r="FN24" s="1">
        <v>3.7990196078431282</v>
      </c>
      <c r="FO24" s="1">
        <v>3.8235294117646967</v>
      </c>
      <c r="FP24" s="1">
        <v>3.8480392156862653</v>
      </c>
      <c r="FQ24" s="1">
        <v>3.8725490196078338</v>
      </c>
      <c r="FR24" s="1">
        <v>3.8970588235294024</v>
      </c>
      <c r="FS24" s="1">
        <v>3.9215686274509709</v>
      </c>
      <c r="FT24" s="1">
        <v>3.9460784313725394</v>
      </c>
      <c r="FU24" s="1">
        <v>3.970588235294108</v>
      </c>
      <c r="FV24" s="1">
        <v>3.9950980392156765</v>
      </c>
      <c r="FW24" s="1">
        <v>4.0196078431372451</v>
      </c>
      <c r="FX24" s="1">
        <v>4.0441176470588136</v>
      </c>
      <c r="FY24" s="1">
        <v>4.0686274509803821</v>
      </c>
      <c r="FZ24" s="1">
        <v>4.0931372549019507</v>
      </c>
      <c r="GA24" s="1">
        <v>4.1176470588235192</v>
      </c>
      <c r="GB24" s="1">
        <v>4.1421568627450878</v>
      </c>
      <c r="GC24" s="1">
        <v>4.1666666666666563</v>
      </c>
      <c r="GD24" s="1">
        <v>4.1911764705882248</v>
      </c>
      <c r="GE24" s="1">
        <v>4.2156862745097934</v>
      </c>
      <c r="GF24" s="1">
        <v>4.2401960784313619</v>
      </c>
      <c r="GG24" s="1">
        <v>4.2647058823529305</v>
      </c>
      <c r="GH24" s="1">
        <v>4.289215686274499</v>
      </c>
      <c r="GI24" s="1">
        <v>4.3137254901960675</v>
      </c>
      <c r="GJ24" s="1">
        <v>4.3382352941176361</v>
      </c>
      <c r="GK24" s="1">
        <v>4.3627450980392046</v>
      </c>
      <c r="GL24" s="1">
        <v>4.3872549019607732</v>
      </c>
      <c r="GM24" s="1">
        <v>4.4117647058823417</v>
      </c>
      <c r="GN24" s="1">
        <v>4.4362745098039102</v>
      </c>
      <c r="GO24" s="1">
        <v>4.4607843137254788</v>
      </c>
      <c r="GP24" s="1">
        <v>4.4852941176470473</v>
      </c>
      <c r="GQ24" s="1">
        <v>4.5098039215686159</v>
      </c>
      <c r="GR24" s="1">
        <v>4.5343137254901844</v>
      </c>
      <c r="GS24" s="1">
        <v>4.558823529411753</v>
      </c>
      <c r="GT24" s="1">
        <v>4.5833333333333215</v>
      </c>
      <c r="GU24" s="1">
        <v>4.60784313725489</v>
      </c>
      <c r="GV24" s="1">
        <v>4.6323529411764586</v>
      </c>
      <c r="GW24" s="1">
        <v>4.6568627450980271</v>
      </c>
      <c r="GX24" s="1">
        <v>4.6813725490195957</v>
      </c>
      <c r="GY24" s="1">
        <v>4.7058823529411642</v>
      </c>
      <c r="GZ24" s="1">
        <v>4.7303921568627327</v>
      </c>
      <c r="HA24" s="1">
        <v>4.7549019607843013</v>
      </c>
      <c r="HB24" s="1">
        <v>4.7794117647058698</v>
      </c>
      <c r="HC24" s="1">
        <v>4.8039215686274384</v>
      </c>
      <c r="HD24" s="1">
        <v>4.8284313725490069</v>
      </c>
      <c r="HE24" s="1">
        <v>4.8529411764705754</v>
      </c>
      <c r="HF24" s="1">
        <v>4.877450980392144</v>
      </c>
      <c r="HG24" s="1">
        <v>4.9019607843137125</v>
      </c>
      <c r="HH24" s="1">
        <v>4.9264705882352811</v>
      </c>
      <c r="HI24" s="1">
        <v>4.9509803921568496</v>
      </c>
      <c r="HJ24" s="1">
        <v>4.9754901960784181</v>
      </c>
      <c r="HK24" s="1">
        <v>4.9999999999999867</v>
      </c>
      <c r="HL24" s="1">
        <v>5.0245098039215552</v>
      </c>
      <c r="HM24" s="1">
        <v>5.0490196078431238</v>
      </c>
      <c r="HN24" s="1">
        <v>5.0735294117646923</v>
      </c>
      <c r="HO24" s="1">
        <v>5.0980392156862608</v>
      </c>
      <c r="HP24" s="1">
        <v>5.1225490196078294</v>
      </c>
      <c r="HQ24" s="1">
        <v>5.1470588235293979</v>
      </c>
      <c r="HR24" s="1">
        <v>5.1715686274509665</v>
      </c>
      <c r="HS24" s="1">
        <v>5.196078431372535</v>
      </c>
      <c r="HT24" s="1">
        <v>5.2205882352941035</v>
      </c>
      <c r="HU24" s="1">
        <v>5.2450980392156721</v>
      </c>
      <c r="HV24" s="1">
        <v>5.2696078431372406</v>
      </c>
      <c r="HW24" s="1">
        <v>5.2941176470588092</v>
      </c>
      <c r="HX24" s="1">
        <v>5.3186274509803777</v>
      </c>
      <c r="HY24" s="1">
        <v>5.3431372549019462</v>
      </c>
      <c r="HZ24" s="1">
        <v>5.3676470588235148</v>
      </c>
      <c r="IA24" s="1">
        <v>5.3921568627450833</v>
      </c>
      <c r="IB24" s="1">
        <v>5.4166666666666519</v>
      </c>
      <c r="IC24" s="1">
        <v>5.4411764705882204</v>
      </c>
      <c r="ID24" s="1">
        <v>5.4656862745097889</v>
      </c>
      <c r="IE24" s="1">
        <v>5.4901960784313575</v>
      </c>
      <c r="IF24" s="1">
        <v>5.514705882352926</v>
      </c>
      <c r="IG24" s="1">
        <v>5.5392156862744946</v>
      </c>
      <c r="IH24" s="1">
        <v>5.5637254901960631</v>
      </c>
      <c r="II24" s="1">
        <v>5.5882352941176316</v>
      </c>
      <c r="IJ24" s="1">
        <v>5.6127450980392002</v>
      </c>
      <c r="IK24" s="1">
        <v>5.6372549019607687</v>
      </c>
      <c r="IL24" s="1">
        <v>5.6617647058823373</v>
      </c>
      <c r="IM24" s="1">
        <v>5.6862745098039058</v>
      </c>
      <c r="IN24" s="1">
        <v>5.7107843137254743</v>
      </c>
      <c r="IO24" s="1">
        <v>5.7352941176470429</v>
      </c>
      <c r="IP24" s="1">
        <v>5.7598039215686114</v>
      </c>
      <c r="IQ24" s="1">
        <v>5.78431372549018</v>
      </c>
      <c r="IR24" s="1">
        <v>5.8088235294117485</v>
      </c>
      <c r="IS24" s="1">
        <v>5.8333333333333171</v>
      </c>
      <c r="IT24" s="1">
        <v>5.8578431372548856</v>
      </c>
      <c r="IU24" s="1">
        <v>5.8823529411764541</v>
      </c>
      <c r="IV24" s="1">
        <v>5.9068627450980227</v>
      </c>
      <c r="IW24" s="1">
        <v>5.9313725490195912</v>
      </c>
      <c r="IX24" s="1">
        <v>5.9558823529411598</v>
      </c>
      <c r="IY24" s="1">
        <v>5.9803921568627283</v>
      </c>
      <c r="IZ24" s="1">
        <v>6.0049019607842968</v>
      </c>
      <c r="JA24" s="1">
        <v>6.0294117647058654</v>
      </c>
      <c r="JB24" s="1">
        <v>6.0539215686274339</v>
      </c>
      <c r="JC24" s="1">
        <v>6.0784313725490025</v>
      </c>
      <c r="JD24" s="1">
        <v>6.102941176470571</v>
      </c>
      <c r="JE24" s="1">
        <v>6.1274509803921395</v>
      </c>
      <c r="JF24" s="1">
        <v>6.1519607843137081</v>
      </c>
      <c r="JG24" s="1">
        <v>6.1764705882352766</v>
      </c>
      <c r="JH24" s="1">
        <v>6.2009803921568452</v>
      </c>
      <c r="JI24" s="1">
        <v>6.2254901960784137</v>
      </c>
      <c r="JJ24" s="1">
        <v>6.2499999999999822</v>
      </c>
    </row>
    <row r="25" spans="8:270" x14ac:dyDescent="0.2">
      <c r="N25" s="1" t="s">
        <v>12</v>
      </c>
      <c r="O25" s="1" cm="1">
        <f t="array" ref="O25:JJ25">_xlfn.MAP(_xlfn.ANCHORARRAY(O24),Sin)</f>
        <v>0</v>
      </c>
      <c r="P25" s="1">
        <v>2.4507350030863254E-2</v>
      </c>
      <c r="Q25" s="1">
        <v>4.8999978486373233E-2</v>
      </c>
      <c r="R25" s="1">
        <v>7.346317263443311E-2</v>
      </c>
      <c r="S25" s="1">
        <v>9.788223742414677E-2</v>
      </c>
      <c r="T25" s="1">
        <v>0.12224250431314201</v>
      </c>
      <c r="U25" s="1">
        <v>0.14652934007897006</v>
      </c>
      <c r="V25" s="1">
        <v>0.17072815560928828</v>
      </c>
      <c r="W25" s="1">
        <v>0.1948244146655462</v>
      </c>
      <c r="X25" s="1">
        <v>0.21880364261490995</v>
      </c>
      <c r="Y25" s="1">
        <v>0.24265143512518014</v>
      </c>
      <c r="Z25" s="1">
        <v>0.2663534668174804</v>
      </c>
      <c r="AA25" s="1">
        <v>0.28989549987151825</v>
      </c>
      <c r="AB25" s="1">
        <v>0.31326339257824981</v>
      </c>
      <c r="AC25" s="1">
        <v>0.33644310783481007</v>
      </c>
      <c r="AD25" s="1">
        <v>0.35942072157660682</v>
      </c>
      <c r="AE25" s="1">
        <v>0.38218243114151157</v>
      </c>
      <c r="AF25" s="1">
        <v>0.40471456356112484</v>
      </c>
      <c r="AG25" s="1">
        <v>0.42700358377413361</v>
      </c>
      <c r="AH25" s="1">
        <v>0.44903610275682859</v>
      </c>
      <c r="AI25" s="1">
        <v>0.47079888556589616</v>
      </c>
      <c r="AJ25" s="1">
        <v>0.49227885928865422</v>
      </c>
      <c r="AK25" s="1">
        <v>0.51346312089595669</v>
      </c>
      <c r="AL25" s="1">
        <v>0.53433894499304779</v>
      </c>
      <c r="AM25" s="1">
        <v>0.55489379146371276</v>
      </c>
      <c r="AN25" s="1">
        <v>0.57511531300313035</v>
      </c>
      <c r="AO25" s="1">
        <v>0.59499136253490392</v>
      </c>
      <c r="AP25" s="1">
        <v>0.61451000050781579</v>
      </c>
      <c r="AQ25" s="1">
        <v>0.63365950206791988</v>
      </c>
      <c r="AR25" s="1">
        <v>0.65242836410166727</v>
      </c>
      <c r="AS25" s="1">
        <v>0.67080531214583039</v>
      </c>
      <c r="AT25" s="1">
        <v>0.68877930716007829</v>
      </c>
      <c r="AU25" s="1">
        <v>0.7063395521581326</v>
      </c>
      <c r="AV25" s="1">
        <v>0.7234754986935219</v>
      </c>
      <c r="AW25" s="1">
        <v>0.74017685319603743</v>
      </c>
      <c r="AX25" s="1">
        <v>0.75643358315508535</v>
      </c>
      <c r="AY25" s="1">
        <v>0.77223592314622014</v>
      </c>
      <c r="AZ25" s="1">
        <v>0.78757438069723862</v>
      </c>
      <c r="BA25" s="1">
        <v>0.80243974199031254</v>
      </c>
      <c r="BB25" s="1">
        <v>0.81682307739673243</v>
      </c>
      <c r="BC25" s="1">
        <v>0.8307157468409393</v>
      </c>
      <c r="BD25" s="1">
        <v>0.84410940499062148</v>
      </c>
      <c r="BE25" s="1">
        <v>0.8569960062697598</v>
      </c>
      <c r="BF25" s="1">
        <v>0.86936780969160787</v>
      </c>
      <c r="BG25" s="1">
        <v>0.88121738350870604</v>
      </c>
      <c r="BH25" s="1">
        <v>0.89253760967713569</v>
      </c>
      <c r="BI25" s="1">
        <v>0.90332168813233071</v>
      </c>
      <c r="BJ25" s="1">
        <v>0.91356314087387913</v>
      </c>
      <c r="BK25" s="1">
        <v>0.9232558158568609</v>
      </c>
      <c r="BL25" s="1">
        <v>0.93239389068738376</v>
      </c>
      <c r="BM25" s="1">
        <v>0.94097187612009747</v>
      </c>
      <c r="BN25" s="1">
        <v>0.94898461935558609</v>
      </c>
      <c r="BO25" s="1">
        <v>0.9564273071356566</v>
      </c>
      <c r="BP25" s="1">
        <v>0.96329546863466475</v>
      </c>
      <c r="BQ25" s="1">
        <v>0.96958497814514255</v>
      </c>
      <c r="BR25" s="1">
        <v>0.97529205755611204</v>
      </c>
      <c r="BS25" s="1">
        <v>0.98041327862259797</v>
      </c>
      <c r="BT25" s="1">
        <v>0.98494556502497654</v>
      </c>
      <c r="BU25" s="1">
        <v>0.98888619421692137</v>
      </c>
      <c r="BV25" s="1">
        <v>0.99223279906083839</v>
      </c>
      <c r="BW25" s="1">
        <v>0.99498336924980635</v>
      </c>
      <c r="BX25" s="1">
        <v>0.99713625251516924</v>
      </c>
      <c r="BY25" s="1">
        <v>0.99869015561905428</v>
      </c>
      <c r="BZ25" s="1">
        <v>0.99964414513122091</v>
      </c>
      <c r="CA25" s="1">
        <v>0.99999764798977264</v>
      </c>
      <c r="CB25" s="1">
        <v>0.99975045184539513</v>
      </c>
      <c r="CC25" s="1">
        <v>0.99890270518891533</v>
      </c>
      <c r="CD25" s="1">
        <v>0.99745491726210211</v>
      </c>
      <c r="CE25" s="1">
        <v>0.99540795775176516</v>
      </c>
      <c r="CF25" s="1">
        <v>0.9927630562673333</v>
      </c>
      <c r="CG25" s="1">
        <v>0.98952180160222813</v>
      </c>
      <c r="CH25" s="1">
        <v>0.98568614077947447</v>
      </c>
      <c r="CI25" s="1">
        <v>0.98125837788212333</v>
      </c>
      <c r="CJ25" s="1">
        <v>0.97624117266918831</v>
      </c>
      <c r="CK25" s="1">
        <v>0.97063753897792682</v>
      </c>
      <c r="CL25" s="1">
        <v>0.96445084291342698</v>
      </c>
      <c r="CM25" s="1">
        <v>0.95768480082658713</v>
      </c>
      <c r="CN25" s="1">
        <v>0.95034347708170208</v>
      </c>
      <c r="CO25" s="1">
        <v>0.94243128161499767</v>
      </c>
      <c r="CP25" s="1">
        <v>0.93395296728558064</v>
      </c>
      <c r="CQ25" s="1">
        <v>0.92491362702039381</v>
      </c>
      <c r="CR25" s="1">
        <v>0.91531869075489269</v>
      </c>
      <c r="CS25" s="1">
        <v>0.90517392217128145</v>
      </c>
      <c r="CT25" s="1">
        <v>0.89448541523626646</v>
      </c>
      <c r="CU25" s="1">
        <v>0.88325959054040748</v>
      </c>
      <c r="CV25" s="1">
        <v>0.87150319144126687</v>
      </c>
      <c r="CW25" s="1">
        <v>0.85922328001267168</v>
      </c>
      <c r="CX25" s="1">
        <v>0.84642723280252274</v>
      </c>
      <c r="CY25" s="1">
        <v>0.83312273640169954</v>
      </c>
      <c r="CZ25" s="1">
        <v>0.81931778282672185</v>
      </c>
      <c r="DA25" s="1">
        <v>0.80502066471894218</v>
      </c>
      <c r="DB25" s="1">
        <v>0.79023997036315208</v>
      </c>
      <c r="DC25" s="1">
        <v>0.77498457852859692</v>
      </c>
      <c r="DD25" s="1">
        <v>0.75926365313549438</v>
      </c>
      <c r="DE25" s="1">
        <v>0.74308663775026484</v>
      </c>
      <c r="DF25" s="1">
        <v>0.72646324991277611</v>
      </c>
      <c r="DG25" s="1">
        <v>0.70940347529901404</v>
      </c>
      <c r="DH25" s="1">
        <v>0.69191756172268215</v>
      </c>
      <c r="DI25" s="1">
        <v>0.67401601297933611</v>
      </c>
      <c r="DJ25" s="1">
        <v>0.65570958253674927</v>
      </c>
      <c r="DK25" s="1">
        <v>0.63700926707530003</v>
      </c>
      <c r="DL25" s="1">
        <v>0.61792629988226122</v>
      </c>
      <c r="DM25" s="1">
        <v>0.5984721441039601</v>
      </c>
      <c r="DN25" s="1">
        <v>0.57865848585986135</v>
      </c>
      <c r="DO25" s="1">
        <v>0.55849722722271045</v>
      </c>
      <c r="DP25" s="1">
        <v>0.53800047906895354</v>
      </c>
      <c r="DQ25" s="1">
        <v>0.51718055380372852</v>
      </c>
      <c r="DR25" s="1">
        <v>0.496049957964799</v>
      </c>
      <c r="DS25" s="1">
        <v>0.47462138470987103</v>
      </c>
      <c r="DT25" s="1">
        <v>0.45290770619180853</v>
      </c>
      <c r="DU25" s="1">
        <v>0.43092196582632547</v>
      </c>
      <c r="DV25" s="1">
        <v>0.40867737045680064</v>
      </c>
      <c r="DW25" s="1">
        <v>0.38618728242092143</v>
      </c>
      <c r="DX25" s="1">
        <v>0.36346521152392203</v>
      </c>
      <c r="DY25" s="1">
        <v>0.34052480692323772</v>
      </c>
      <c r="DZ25" s="1">
        <v>0.31737984892945031</v>
      </c>
      <c r="EA25" s="1">
        <v>0.29404424072844992</v>
      </c>
      <c r="EB25" s="1">
        <v>0.2705320000297855</v>
      </c>
      <c r="EC25" s="1">
        <v>0.24685725064622066</v>
      </c>
      <c r="ED25" s="1">
        <v>0.2230342140095537</v>
      </c>
      <c r="EE25" s="1">
        <v>0.19907720062779743</v>
      </c>
      <c r="EF25" s="1">
        <v>0.17500060148885122</v>
      </c>
      <c r="EG25" s="1">
        <v>0.15081887941582842</v>
      </c>
      <c r="EH25" s="1">
        <v>0.12654656037923268</v>
      </c>
      <c r="EI25" s="1">
        <v>0.10219822477120126</v>
      </c>
      <c r="EJ25" s="1">
        <v>7.778849864705753E-2</v>
      </c>
      <c r="EK25" s="1">
        <v>5.3332044939433422E-2</v>
      </c>
      <c r="EL25" s="1">
        <v>2.8843554650239654E-2</v>
      </c>
      <c r="EM25" s="1">
        <v>4.3377380257748344E-3</v>
      </c>
      <c r="EN25" s="1">
        <v>-2.0170684279725622E-2</v>
      </c>
      <c r="EO25" s="1">
        <v>-4.4666990046792629E-2</v>
      </c>
      <c r="EP25" s="1">
        <v>-6.9136464334366765E-2</v>
      </c>
      <c r="EQ25" s="1">
        <v>-9.3564408319069509E-2</v>
      </c>
      <c r="ER25" s="1">
        <v>-0.11793614812479253</v>
      </c>
      <c r="ES25" s="1">
        <v>-0.14223704363730119</v>
      </c>
      <c r="ET25" s="1">
        <v>-0.16645249729855724</v>
      </c>
      <c r="EU25" s="1">
        <v>-0.19056796287547798</v>
      </c>
      <c r="EV25" s="1">
        <v>-0.21456895419786456</v>
      </c>
      <c r="EW25" s="1">
        <v>-0.23844105386025044</v>
      </c>
      <c r="EX25" s="1">
        <v>-0.26216992188244281</v>
      </c>
      <c r="EY25" s="1">
        <v>-0.28574130432355477</v>
      </c>
      <c r="EZ25" s="1">
        <v>-0.3091410418443532</v>
      </c>
      <c r="FA25" s="1">
        <v>-0.33235507821278032</v>
      </c>
      <c r="FB25" s="1">
        <v>-0.35536946874753755</v>
      </c>
      <c r="FC25" s="1">
        <v>-0.37817038869466163</v>
      </c>
      <c r="FD25" s="1">
        <v>-0.40074414153206023</v>
      </c>
      <c r="FE25" s="1">
        <v>-0.42307716719701799</v>
      </c>
      <c r="FF25" s="1">
        <v>-0.44515605023173238</v>
      </c>
      <c r="FG25" s="1">
        <v>-0.46696752784198448</v>
      </c>
      <c r="FH25" s="1">
        <v>-0.48849849786410482</v>
      </c>
      <c r="FI25" s="1">
        <v>-0.50973602663544904</v>
      </c>
      <c r="FJ25" s="1">
        <v>-0.53066735676365395</v>
      </c>
      <c r="FK25" s="1">
        <v>-0.55127991479000871</v>
      </c>
      <c r="FL25" s="1">
        <v>-0.57156131874233651</v>
      </c>
      <c r="FM25" s="1">
        <v>-0.59149938557285042</v>
      </c>
      <c r="FN25" s="1">
        <v>-0.6110821384765156</v>
      </c>
      <c r="FO25" s="1">
        <v>-0.63029781408552066</v>
      </c>
      <c r="FP25" s="1">
        <v>-0.64913486953553756</v>
      </c>
      <c r="FQ25" s="1">
        <v>-0.66758198939952562</v>
      </c>
      <c r="FR25" s="1">
        <v>-0.68562809248491219</v>
      </c>
      <c r="FS25" s="1">
        <v>-0.70326233849007092</v>
      </c>
      <c r="FT25" s="1">
        <v>-0.72047413451609443</v>
      </c>
      <c r="FU25" s="1">
        <v>-0.73725314142995346</v>
      </c>
      <c r="FV25" s="1">
        <v>-0.75358928007521853</v>
      </c>
      <c r="FW25" s="1">
        <v>-0.76947273732661292</v>
      </c>
      <c r="FX25" s="1">
        <v>-0.78489397198476196</v>
      </c>
      <c r="FY25" s="1">
        <v>-0.79984372050759445</v>
      </c>
      <c r="FZ25" s="1">
        <v>-0.81431300257495687</v>
      </c>
      <c r="GA25" s="1">
        <v>-0.82829312648309539</v>
      </c>
      <c r="GB25" s="1">
        <v>-0.84177569436576549</v>
      </c>
      <c r="GC25" s="1">
        <v>-0.85475260723883439</v>
      </c>
      <c r="GD25" s="1">
        <v>-0.86721606986534372</v>
      </c>
      <c r="GE25" s="1">
        <v>-0.87915859543811148</v>
      </c>
      <c r="GF25" s="1">
        <v>-0.8905730100770608</v>
      </c>
      <c r="GG25" s="1">
        <v>-0.90145245713857192</v>
      </c>
      <c r="GH25" s="1">
        <v>-0.91179040133427169</v>
      </c>
      <c r="GI25" s="1">
        <v>-0.92158063265678336</v>
      </c>
      <c r="GJ25" s="1">
        <v>-0.93081727011008086</v>
      </c>
      <c r="GK25" s="1">
        <v>-0.93949476524220565</v>
      </c>
      <c r="GL25" s="1">
        <v>-0.94760790547822371</v>
      </c>
      <c r="GM25" s="1">
        <v>-0.95515181725142217</v>
      </c>
      <c r="GN25" s="1">
        <v>-0.96212196893086221</v>
      </c>
      <c r="GO25" s="1">
        <v>-0.96851417354353175</v>
      </c>
      <c r="GP25" s="1">
        <v>-0.97432459128946247</v>
      </c>
      <c r="GQ25" s="1">
        <v>-0.9795497318482983</v>
      </c>
      <c r="GR25" s="1">
        <v>-0.98418645647593306</v>
      </c>
      <c r="GS25" s="1">
        <v>-0.98823197988995515</v>
      </c>
      <c r="GT25" s="1">
        <v>-0.99168387194276764</v>
      </c>
      <c r="GU25" s="1">
        <v>-0.99454005908137921</v>
      </c>
      <c r="GV25" s="1">
        <v>-0.99679882559298805</v>
      </c>
      <c r="GW25" s="1">
        <v>-0.99845881463561159</v>
      </c>
      <c r="GX25" s="1">
        <v>-0.99951902905314172</v>
      </c>
      <c r="GY25" s="1">
        <v>-0.9999788319743369</v>
      </c>
      <c r="GZ25" s="1">
        <v>-0.99983794719539132</v>
      </c>
      <c r="HA25" s="1">
        <v>-0.99909645934585012</v>
      </c>
      <c r="HB25" s="1">
        <v>-0.99775481383777309</v>
      </c>
      <c r="HC25" s="1">
        <v>-0.99581381659817447</v>
      </c>
      <c r="HD25" s="1">
        <v>-0.9932746335849032</v>
      </c>
      <c r="HE25" s="1">
        <v>-0.99013879008625127</v>
      </c>
      <c r="HF25" s="1">
        <v>-0.98640816980471191</v>
      </c>
      <c r="HG25" s="1">
        <v>-0.98208501372543955</v>
      </c>
      <c r="HH25" s="1">
        <v>-0.97717191877008835</v>
      </c>
      <c r="HI25" s="1">
        <v>-0.97167183623684095</v>
      </c>
      <c r="HJ25" s="1">
        <v>-0.96558807002756175</v>
      </c>
      <c r="HK25" s="1">
        <v>-0.95892427466314223</v>
      </c>
      <c r="HL25" s="1">
        <v>-0.95168445308822858</v>
      </c>
      <c r="HM25" s="1">
        <v>-0.94387295426665085</v>
      </c>
      <c r="HN25" s="1">
        <v>-0.93549447056899926</v>
      </c>
      <c r="HO25" s="1">
        <v>-0.92655403495391453</v>
      </c>
      <c r="HP25" s="1">
        <v>-0.91705701794478789</v>
      </c>
      <c r="HQ25" s="1">
        <v>-0.90700912440368542</v>
      </c>
      <c r="HR25" s="1">
        <v>-0.89641639010443497</v>
      </c>
      <c r="HS25" s="1">
        <v>-0.88528517810693452</v>
      </c>
      <c r="HT25" s="1">
        <v>-0.87362217493485894</v>
      </c>
      <c r="HU25" s="1">
        <v>-0.86143438655906313</v>
      </c>
      <c r="HV25" s="1">
        <v>-0.84872913418909179</v>
      </c>
      <c r="HW25" s="1">
        <v>-0.83551404987532629</v>
      </c>
      <c r="HX25" s="1">
        <v>-0.82179707192440843</v>
      </c>
      <c r="HY25" s="1">
        <v>-0.80758644013069658</v>
      </c>
      <c r="HZ25" s="1">
        <v>-0.79289069082661789</v>
      </c>
      <c r="IA25" s="1">
        <v>-0.77771865175488941</v>
      </c>
      <c r="IB25" s="1">
        <v>-0.7620794367656899</v>
      </c>
      <c r="IC25" s="1">
        <v>-0.74598244034196581</v>
      </c>
      <c r="ID25" s="1">
        <v>-0.72943733195616178</v>
      </c>
      <c r="IE25" s="1">
        <v>-0.71245405026176434</v>
      </c>
      <c r="IF25" s="1">
        <v>-0.69504279712314865</v>
      </c>
      <c r="IG25" s="1">
        <v>-0.67721403148731429</v>
      </c>
      <c r="IH25" s="1">
        <v>-0.65897846310119168</v>
      </c>
      <c r="II25" s="1">
        <v>-0.64034704607829251</v>
      </c>
      <c r="IJ25" s="1">
        <v>-0.62133097231856882</v>
      </c>
      <c r="IK25" s="1">
        <v>-0.60194166478543476</v>
      </c>
      <c r="IL25" s="1">
        <v>-0.58219077064398717</v>
      </c>
      <c r="IM25" s="1">
        <v>-0.562090154264549</v>
      </c>
      <c r="IN25" s="1">
        <v>-0.54165189009573678</v>
      </c>
      <c r="IO25" s="1">
        <v>-0.52088825541133454</v>
      </c>
      <c r="IP25" s="1">
        <v>-0.49981172293533044</v>
      </c>
      <c r="IQ25" s="1">
        <v>-0.47843495334954605</v>
      </c>
      <c r="IR25" s="1">
        <v>-0.45677078768835971</v>
      </c>
      <c r="IS25" s="1">
        <v>-0.43483223962509154</v>
      </c>
      <c r="IT25" s="1">
        <v>-0.41263248765468491</v>
      </c>
      <c r="IU25" s="1">
        <v>-0.39018486717737871</v>
      </c>
      <c r="IV25" s="1">
        <v>-0.36750286248812697</v>
      </c>
      <c r="IW25" s="1">
        <v>-0.34460009867657732</v>
      </c>
      <c r="IX25" s="1">
        <v>-0.32149033344247385</v>
      </c>
      <c r="IY25" s="1">
        <v>-0.29818744883140147</v>
      </c>
      <c r="IZ25" s="1">
        <v>-0.27470544289583482</v>
      </c>
      <c r="JA25" s="1">
        <v>-0.25105842128650296</v>
      </c>
      <c r="JB25" s="1">
        <v>-0.22726058877911853</v>
      </c>
      <c r="JC25" s="1">
        <v>-0.2033262407415635</v>
      </c>
      <c r="JD25" s="1">
        <v>-0.17926975454665547</v>
      </c>
      <c r="JE25" s="1">
        <v>-0.15510558093565402</v>
      </c>
      <c r="JF25" s="1">
        <v>-0.13084823533769432</v>
      </c>
      <c r="JG25" s="1">
        <v>-0.10651228915036287</v>
      </c>
      <c r="JH25" s="1">
        <v>-8.211236098665281E-2</v>
      </c>
      <c r="JI25" s="1">
        <v>-5.7663107893557178E-2</v>
      </c>
      <c r="JJ25" s="1">
        <v>-3.3179216547574573E-2</v>
      </c>
    </row>
    <row r="27" spans="8:270" x14ac:dyDescent="0.2">
      <c r="N27" s="1" t="s">
        <v>13</v>
      </c>
      <c r="O27" s="1" cm="1">
        <f t="array" ref="O27">O22*(SUM(_xlfn.ANCHORARRAY(O25))-((INDEX(_xlfn.ANCHORARRAY(O25),1)+INDEX(_xlfn.ANCHORARRAY(O25),O20+1))/2))</f>
        <v>5.5055421261721114E-4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Lulic, Almis</dc:creator>
  <cp:lastModifiedBy>Lulic, Almis</cp:lastModifiedBy>
  <dcterms:created xsi:type="dcterms:W3CDTF">2026-08-28T10:20:02Z</dcterms:created>
  <dcterms:modified xsi:type="dcterms:W3CDTF">2026-09-01T12:37:45Z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3e733f9-073b-480d-b2ec-0fb22de1245e_Enabled">
    <vt:lpwstr>true</vt:lpwstr>
  </property>
  <property fmtid="{D5CDD505-2E9C-101B-9397-08002B2CF9AE}" pid="3" name="MSIP_Label_c3e733f9-073b-480d-b2ec-0fb22de1245e_SetDate">
    <vt:lpwstr>2026-08-28T10:20:06Z</vt:lpwstr>
  </property>
  <property fmtid="{D5CDD505-2E9C-101B-9397-08002B2CF9AE}" pid="4" name="MSIP_Label_c3e733f9-073b-480d-b2ec-0fb22de1245e_Method">
    <vt:lpwstr>Standard</vt:lpwstr>
  </property>
  <property fmtid="{D5CDD505-2E9C-101B-9397-08002B2CF9AE}" pid="5" name="MSIP_Label_c3e733f9-073b-480d-b2ec-0fb22de1245e_Name">
    <vt:lpwstr>FCS Group</vt:lpwstr>
  </property>
  <property fmtid="{D5CDD505-2E9C-101B-9397-08002B2CF9AE}" pid="6" name="MSIP_Label_c3e733f9-073b-480d-b2ec-0fb22de1245e_SiteId">
    <vt:lpwstr>34560a6d-1437-4378-add6-5be422d39cce</vt:lpwstr>
  </property>
  <property fmtid="{D5CDD505-2E9C-101B-9397-08002B2CF9AE}" pid="7" name="MSIP_Label_c3e733f9-073b-480d-b2ec-0fb22de1245e_ActionId">
    <vt:lpwstr>4eb793b7-b034-4892-9d86-451ee30f8f0f</vt:lpwstr>
  </property>
  <property fmtid="{D5CDD505-2E9C-101B-9397-08002B2CF9AE}" pid="8" name="MSIP_Label_c3e733f9-073b-480d-b2ec-0fb22de1245e_ContentBits">
    <vt:lpwstr>0</vt:lpwstr>
  </property>
  <property fmtid="{D5CDD505-2E9C-101B-9397-08002B2CF9AE}" pid="9" name="MSIP_Label_c3e733f9-073b-480d-b2ec-0fb22de1245e_Tag">
    <vt:lpwstr>10, 3, 0, 1</vt:lpwstr>
  </property>
</Properties>
</file>